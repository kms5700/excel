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HAMMAD HABIB\Downloads\"/>
    </mc:Choice>
  </mc:AlternateContent>
  <xr:revisionPtr revIDLastSave="0" documentId="13_ncr:1_{432C7A93-A98E-411D-A728-B4F8A3DA7EE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Q1-4" sheetId="1" r:id="rId1"/>
    <sheet name="Q5-7" sheetId="2" r:id="rId2"/>
  </sheets>
  <functionGroups builtInGroupCount="19"/>
  <definedNames>
    <definedName name="_xlnm._FilterDatabase" localSheetId="0" hidden="1">'Q1-4'!$A$2:$G$128</definedName>
    <definedName name="solver_adj" localSheetId="0" hidden="1">'Q1-4'!$J$18:$L$18</definedName>
    <definedName name="solver_adj" localSheetId="1" hidden="1">'Q5-7'!$G$5:$H$5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'Q1-4'!$J$18</definedName>
    <definedName name="solver_lhs1" localSheetId="1" hidden="1">'Q5-7'!$G$5</definedName>
    <definedName name="solver_lhs2" localSheetId="0" hidden="1">'Q1-4'!$J$18</definedName>
    <definedName name="solver_lhs2" localSheetId="1" hidden="1">'Q5-7'!$G$5</definedName>
    <definedName name="solver_lhs3" localSheetId="0" hidden="1">'Q1-4'!$K$18</definedName>
    <definedName name="solver_lhs3" localSheetId="1" hidden="1">'Q5-7'!$H$5</definedName>
    <definedName name="solver_lhs4" localSheetId="0" hidden="1">'Q1-4'!$K$18</definedName>
    <definedName name="solver_lhs4" localSheetId="1" hidden="1">'Q5-7'!$H$5</definedName>
    <definedName name="solver_lhs5" localSheetId="0" hidden="1">'Q1-4'!$L$18</definedName>
    <definedName name="solver_lhs5" localSheetId="1" hidden="1">'Q5-7'!$I$5</definedName>
    <definedName name="solver_lhs6" localSheetId="0" hidden="1">'Q1-4'!$L$18</definedName>
    <definedName name="solver_lhs7" localSheetId="0" hidden="1">'Q1-4'!$M$18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7</definedName>
    <definedName name="solver_num" localSheetId="1" hidden="1">5</definedName>
    <definedName name="solver_nwt" localSheetId="0" hidden="1">1</definedName>
    <definedName name="solver_nwt" localSheetId="1" hidden="1">1</definedName>
    <definedName name="solver_opt" localSheetId="0" hidden="1">'Q1-4'!$N$18</definedName>
    <definedName name="solver_opt" localSheetId="1" hidden="1">'Q5-7'!$F$9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2</definedName>
    <definedName name="solver_rel6" localSheetId="0" hidden="1">3</definedName>
    <definedName name="solver_rel7" localSheetId="0" hidden="1">2</definedName>
    <definedName name="solver_rhs1" localSheetId="0" hidden="1">1</definedName>
    <definedName name="solver_rhs1" localSheetId="1" hidden="1">1</definedName>
    <definedName name="solver_rhs2" localSheetId="0" hidden="1">0</definedName>
    <definedName name="solver_rhs2" localSheetId="1" hidden="1">0</definedName>
    <definedName name="solver_rhs3" localSheetId="0" hidden="1">1</definedName>
    <definedName name="solver_rhs3" localSheetId="1" hidden="1">1</definedName>
    <definedName name="solver_rhs4" localSheetId="0" hidden="1">0</definedName>
    <definedName name="solver_rhs4" localSheetId="1" hidden="1">0</definedName>
    <definedName name="solver_rhs5" localSheetId="0" hidden="1">1</definedName>
    <definedName name="solver_rhs5" localSheetId="1" hidden="1">1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F20" i="1" l="1"/>
  <c r="F7" i="1"/>
  <c r="I5" i="2"/>
  <c r="F8" i="2"/>
  <c r="F14" i="2"/>
  <c r="F15" i="2"/>
  <c r="F16" i="2"/>
  <c r="F17" i="2"/>
  <c r="F18" i="2"/>
  <c r="F19" i="2"/>
  <c r="F20" i="2"/>
  <c r="F21" i="2"/>
  <c r="F22" i="2"/>
  <c r="F23" i="2"/>
  <c r="F13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2" i="2"/>
  <c r="E5" i="1"/>
  <c r="M18" i="1"/>
  <c r="F5" i="1"/>
  <c r="G5" i="1"/>
  <c r="E6" i="1"/>
  <c r="F6" i="1"/>
  <c r="G6" i="1"/>
  <c r="E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F4" i="1"/>
  <c r="G4" i="1"/>
  <c r="E4" i="1"/>
  <c r="G136" i="1"/>
  <c r="F136" i="1"/>
  <c r="E136" i="1"/>
  <c r="F6" i="2" l="1"/>
  <c r="G4" i="2"/>
  <c r="H4" i="2"/>
  <c r="G3" i="2"/>
  <c r="H3" i="2"/>
  <c r="K15" i="1"/>
  <c r="J15" i="1"/>
  <c r="K2" i="1"/>
  <c r="J2" i="1"/>
  <c r="G14" i="2" l="1"/>
  <c r="G18" i="2"/>
  <c r="G22" i="2"/>
  <c r="G15" i="2"/>
  <c r="G19" i="2"/>
  <c r="G23" i="2"/>
  <c r="G16" i="2"/>
  <c r="G20" i="2"/>
  <c r="G13" i="2"/>
  <c r="G17" i="2"/>
  <c r="G21" i="2"/>
  <c r="J5" i="2"/>
  <c r="K5" i="2"/>
  <c r="G131" i="1"/>
  <c r="F131" i="1"/>
  <c r="E131" i="1"/>
  <c r="F9" i="2" l="1"/>
  <c r="H15" i="2"/>
  <c r="H19" i="2"/>
  <c r="H23" i="2"/>
  <c r="H16" i="2"/>
  <c r="H20" i="2"/>
  <c r="H13" i="2"/>
  <c r="H17" i="2"/>
  <c r="H21" i="2"/>
  <c r="H14" i="2"/>
  <c r="H18" i="2"/>
  <c r="H22" i="2"/>
  <c r="L2" i="1"/>
  <c r="L15" i="1"/>
  <c r="J6" i="1"/>
  <c r="J5" i="1"/>
  <c r="J7" i="1"/>
  <c r="J3" i="1"/>
  <c r="K3" i="1"/>
  <c r="L3" i="1"/>
  <c r="E130" i="1"/>
  <c r="E132" i="1" s="1"/>
  <c r="F130" i="1"/>
  <c r="F132" i="1" s="1"/>
  <c r="J13" i="1"/>
  <c r="G130" i="1"/>
  <c r="G132" i="1" s="1"/>
  <c r="L11" i="1"/>
  <c r="L13" i="1"/>
  <c r="L12" i="1"/>
  <c r="K11" i="1"/>
  <c r="J12" i="1"/>
  <c r="J11" i="1"/>
  <c r="K12" i="1"/>
  <c r="K13" i="1"/>
  <c r="N18" i="1" l="1"/>
  <c r="O18" i="1"/>
</calcChain>
</file>

<file path=xl/sharedStrings.xml><?xml version="1.0" encoding="utf-8"?>
<sst xmlns="http://schemas.openxmlformats.org/spreadsheetml/2006/main" count="59" uniqueCount="38">
  <si>
    <t>Date</t>
  </si>
  <si>
    <t>Apple_Close</t>
  </si>
  <si>
    <t>JNJ_Close</t>
  </si>
  <si>
    <t>Daily Return</t>
  </si>
  <si>
    <t>Apple</t>
  </si>
  <si>
    <t>JNJ</t>
  </si>
  <si>
    <t>Daily Volatility</t>
  </si>
  <si>
    <t>CAGR</t>
  </si>
  <si>
    <t>Annualized volatilty</t>
  </si>
  <si>
    <t>Covariance Matrix</t>
  </si>
  <si>
    <t>Weights</t>
  </si>
  <si>
    <t>Expected returns</t>
  </si>
  <si>
    <t>Expected Portfolio returns</t>
  </si>
  <si>
    <t>Total</t>
  </si>
  <si>
    <t>St. deviation daily returns</t>
  </si>
  <si>
    <t>Daily Ex. Return</t>
  </si>
  <si>
    <t>Portfolio St. deviation</t>
  </si>
  <si>
    <t>Correlation (Apple, JNJ)</t>
  </si>
  <si>
    <t xml:space="preserve"> </t>
  </si>
  <si>
    <t>w</t>
  </si>
  <si>
    <t>Microsoft</t>
  </si>
  <si>
    <t>Microsoft_Close</t>
  </si>
  <si>
    <t>Correlation (Apple, Microsoft)</t>
  </si>
  <si>
    <t>Correlation (JNJ, Microsoft)</t>
  </si>
  <si>
    <t>Weight Allocation</t>
  </si>
  <si>
    <r>
      <t xml:space="preserve">As of Mar 7, 2025, the 3-month US T-bill rate is </t>
    </r>
    <r>
      <rPr>
        <b/>
        <i/>
        <u/>
        <sz val="11"/>
        <color theme="1"/>
        <rFont val="Times New Roman"/>
        <family val="1"/>
      </rPr>
      <t>4.302%.</t>
    </r>
    <r>
      <rPr>
        <b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Source: Market Watch</t>
    </r>
  </si>
  <si>
    <t>E(R_p)</t>
  </si>
  <si>
    <t>Std. dev.</t>
  </si>
  <si>
    <t>Covariance_1,2</t>
  </si>
  <si>
    <t>Sharpe (w)</t>
  </si>
  <si>
    <t>weights</t>
  </si>
  <si>
    <t>Portfolio Std. Dev.</t>
  </si>
  <si>
    <t>Exp. Portfolio returns</t>
  </si>
  <si>
    <t>Daily Rf</t>
  </si>
  <si>
    <t>3 months Rf</t>
  </si>
  <si>
    <t>OCP Std. Dev</t>
  </si>
  <si>
    <t>OCP Returns</t>
  </si>
  <si>
    <t>Annualized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</si>
</sst>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"/>
    <numFmt numFmtId="165" formatCode="0.000000"/>
    <numFmt numFmtId="166" formatCode="0.0000%"/>
    <numFmt numFmtId="167" formatCode="0.00000%"/>
    <numFmt numFmtId="168" formatCode="0.000000%"/>
    <numFmt numFmtId="169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u/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9" fontId="0" fillId="0" borderId="0" xfId="0" applyNumberFormat="1"/>
    <xf numFmtId="166" fontId="0" fillId="0" borderId="0" xfId="2" applyNumberFormat="1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8" fontId="2" fillId="0" borderId="0" xfId="1" applyNumberFormat="1" applyFont="1"/>
    <xf numFmtId="8" fontId="2" fillId="0" borderId="0" xfId="0" applyNumberFormat="1" applyFont="1"/>
    <xf numFmtId="166" fontId="2" fillId="0" borderId="0" xfId="0" applyNumberFormat="1" applyFont="1" applyAlignment="1">
      <alignment horizontal="center"/>
    </xf>
    <xf numFmtId="166" fontId="2" fillId="0" borderId="0" xfId="2" applyNumberFormat="1" applyFont="1"/>
    <xf numFmtId="165" fontId="2" fillId="0" borderId="0" xfId="0" applyNumberFormat="1" applyFont="1"/>
    <xf numFmtId="164" fontId="2" fillId="0" borderId="0" xfId="0" applyNumberFormat="1" applyFont="1"/>
    <xf numFmtId="9" fontId="2" fillId="0" borderId="0" xfId="0" applyNumberFormat="1" applyFont="1"/>
    <xf numFmtId="0" fontId="3" fillId="0" borderId="0" xfId="0" applyFont="1" applyAlignment="1">
      <alignment wrapText="1"/>
    </xf>
    <xf numFmtId="167" fontId="2" fillId="0" borderId="0" xfId="2" applyNumberFormat="1" applyFont="1"/>
    <xf numFmtId="10" fontId="2" fillId="0" borderId="0" xfId="2" applyNumberFormat="1" applyFont="1"/>
    <xf numFmtId="9" fontId="2" fillId="0" borderId="0" xfId="2" applyFont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6" fontId="2" fillId="0" borderId="0" xfId="0" applyNumberFormat="1" applyFont="1"/>
    <xf numFmtId="0" fontId="3" fillId="0" borderId="1" xfId="0" applyFont="1" applyBorder="1"/>
    <xf numFmtId="0" fontId="6" fillId="0" borderId="3" xfId="0" applyFont="1" applyBorder="1"/>
    <xf numFmtId="0" fontId="2" fillId="0" borderId="3" xfId="0" applyFont="1" applyBorder="1"/>
    <xf numFmtId="10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169" fontId="2" fillId="0" borderId="0" xfId="2" applyNumberFormat="1" applyFont="1"/>
    <xf numFmtId="166" fontId="7" fillId="0" borderId="0" xfId="2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'Q5-7'!$G$13:$G$23</c:f>
              <c:numCache>
                <c:formatCode>0.0000%</c:formatCode>
                <c:ptCount val="11"/>
                <c:pt idx="0">
                  <c:v>1.3842417442373911E-2</c:v>
                </c:pt>
                <c:pt idx="1">
                  <c:v>1.3124207977216296E-2</c:v>
                </c:pt>
                <c:pt idx="2">
                  <c:v>1.2533748980598369E-2</c:v>
                </c:pt>
                <c:pt idx="3">
                  <c:v>1.208977278889913E-2</c:v>
                </c:pt>
                <c:pt idx="4">
                  <c:v>1.1808812927847297E-2</c:v>
                </c:pt>
                <c:pt idx="5">
                  <c:v>1.1702616525449063E-2</c:v>
                </c:pt>
                <c:pt idx="6">
                  <c:v>1.1775912636295582E-2</c:v>
                </c:pt>
                <c:pt idx="7">
                  <c:v>1.2025419634788254E-2</c:v>
                </c:pt>
                <c:pt idx="8">
                  <c:v>1.2440539798054109E-2</c:v>
                </c:pt>
                <c:pt idx="9">
                  <c:v>1.3005424162260833E-2</c:v>
                </c:pt>
                <c:pt idx="10">
                  <c:v>1.3701561915081069E-2</c:v>
                </c:pt>
              </c:numCache>
            </c:numRef>
          </c:xVal>
          <c:yVal>
            <c:numRef>
              <c:f>'Q5-7'!$H$13:$H$23</c:f>
              <c:numCache>
                <c:formatCode>0.000000%</c:formatCode>
                <c:ptCount val="11"/>
                <c:pt idx="0">
                  <c:v>4.7800000000000002E-4</c:v>
                </c:pt>
                <c:pt idx="1">
                  <c:v>5.0503752101148771E-4</c:v>
                </c:pt>
                <c:pt idx="2">
                  <c:v>5.3207504202297529E-4</c:v>
                </c:pt>
                <c:pt idx="3">
                  <c:v>5.5911256303446287E-4</c:v>
                </c:pt>
                <c:pt idx="4">
                  <c:v>5.8615008404595045E-4</c:v>
                </c:pt>
                <c:pt idx="5">
                  <c:v>6.1318760505743803E-4</c:v>
                </c:pt>
                <c:pt idx="6">
                  <c:v>6.4022512606892561E-4</c:v>
                </c:pt>
                <c:pt idx="7">
                  <c:v>6.6726264708041319E-4</c:v>
                </c:pt>
                <c:pt idx="8">
                  <c:v>6.9430016809190077E-4</c:v>
                </c:pt>
                <c:pt idx="9">
                  <c:v>7.2133768910338846E-4</c:v>
                </c:pt>
                <c:pt idx="10">
                  <c:v>7.4837521011487604E-4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7-4B7F-96D9-052DA421B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580191"/>
        <c:axId val="750581631"/>
      </c:scatterChart>
      <c:valAx>
        <c:axId val="750580191"/>
        <c:scaling>
          <c:orientation val="minMax"/>
        </c:scaling>
        <c:delete val="0"/>
        <c:axPos val="b"/>
        <c:numFmt formatCode="0.00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0581631"/>
        <c:crosses val="autoZero"/>
        <c:crossBetween val="midCat"/>
      </c:valAx>
      <c:valAx>
        <c:axId val="750581631"/>
        <c:scaling>
          <c:orientation val="minMax"/>
          <c:min val="4.0000000000000013E-4"/>
        </c:scaling>
        <c:delete val="0"/>
        <c:axPos val="l"/>
        <c:numFmt formatCode="0.0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058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8</xdr:row>
      <xdr:rowOff>22225</xdr:rowOff>
    </xdr:from>
    <xdr:to>
      <xdr:col>13</xdr:col>
      <xdr:colOff>339725</xdr:colOff>
      <xdr:row>23</xdr:row>
      <xdr:rowOff>3175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6996CE8-6C06-C279-D496-C07F0042E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6"/>
  <sheetViews>
    <sheetView tabSelected="1" topLeftCell="A115" workbookViewId="0">
      <selection activeCell="D134" sqref="D134"/>
    </sheetView>
  </sheetViews>
  <sheetFormatPr defaultColWidth="8.7109375" defaultRowHeight="15" x14ac:dyDescent="0.25"/>
  <cols>
    <col min="1" max="1" width="10.85546875" style="3" bestFit="1" customWidth="1"/>
    <col min="2" max="2" width="13.28515625" style="3" bestFit="1" customWidth="1"/>
    <col min="3" max="3" width="11.42578125" style="3" bestFit="1" customWidth="1"/>
    <col min="4" max="4" width="17.7109375" style="3" customWidth="1"/>
    <col min="5" max="5" width="12" style="3" bestFit="1" customWidth="1"/>
    <col min="6" max="6" width="12.7109375" style="3" bestFit="1" customWidth="1"/>
    <col min="7" max="7" width="20.42578125" style="3" bestFit="1" customWidth="1"/>
    <col min="8" max="8" width="8.7109375" style="3"/>
    <col min="9" max="9" width="26" style="3" bestFit="1" customWidth="1"/>
    <col min="10" max="11" width="10.85546875" style="3" bestFit="1" customWidth="1"/>
    <col min="12" max="12" width="12.5703125" style="3" bestFit="1" customWidth="1"/>
    <col min="13" max="13" width="5.85546875" style="3" bestFit="1" customWidth="1"/>
    <col min="14" max="14" width="11.5703125" style="3" bestFit="1" customWidth="1"/>
    <col min="15" max="15" width="8.85546875" style="3" bestFit="1" customWidth="1"/>
    <col min="16" max="16384" width="8.7109375" style="3"/>
  </cols>
  <sheetData>
    <row r="1" spans="1:13" x14ac:dyDescent="0.25">
      <c r="E1" s="35" t="s">
        <v>3</v>
      </c>
      <c r="F1" s="35"/>
      <c r="G1" s="35"/>
      <c r="J1" s="5" t="s">
        <v>4</v>
      </c>
      <c r="K1" s="5" t="s">
        <v>5</v>
      </c>
      <c r="L1" s="5" t="s">
        <v>20</v>
      </c>
    </row>
    <row r="2" spans="1:13" ht="28.5" x14ac:dyDescent="0.25">
      <c r="A2" s="6" t="s">
        <v>0</v>
      </c>
      <c r="B2" s="6" t="s">
        <v>1</v>
      </c>
      <c r="C2" s="6" t="s">
        <v>2</v>
      </c>
      <c r="D2" s="7" t="s">
        <v>21</v>
      </c>
      <c r="E2" s="8" t="s">
        <v>4</v>
      </c>
      <c r="F2" s="8" t="s">
        <v>5</v>
      </c>
      <c r="G2" s="8" t="s">
        <v>37</v>
      </c>
      <c r="H2" s="8"/>
      <c r="I2" s="9" t="s">
        <v>14</v>
      </c>
      <c r="J2" s="10">
        <f>_xlfn.STDEV.S(E3:E128)</f>
        <v>1.3701561915081069E-2</v>
      </c>
      <c r="K2" s="10">
        <f>_xlfn.STDEV.S(F3:F128)</f>
        <v>9.8643335180809665E-3</v>
      </c>
      <c r="L2" s="10">
        <f>_xlfn.STDEV.S(G3:G128)</f>
        <v>2.7543119208522236E-2</v>
      </c>
    </row>
    <row r="3" spans="1:13" x14ac:dyDescent="0.25">
      <c r="A3" s="11">
        <v>45524</v>
      </c>
      <c r="B3" s="12">
        <v>226.51</v>
      </c>
      <c r="C3" s="12">
        <v>160.16</v>
      </c>
      <c r="D3" s="13">
        <v>424.8</v>
      </c>
      <c r="G3" s="3">
        <v>0.26758121499899734</v>
      </c>
      <c r="I3" s="4" t="s">
        <v>15</v>
      </c>
      <c r="J3" s="14">
        <f>AVERAGE(E4:E128)</f>
        <v>7.4837521011487582E-4</v>
      </c>
      <c r="K3" s="14">
        <f t="shared" ref="K3:L3" si="0">AVERAGE(F4:F128)</f>
        <v>2.4134325393789014E-5</v>
      </c>
      <c r="L3" s="14">
        <f t="shared" si="0"/>
        <v>-6.8776971189643429E-5</v>
      </c>
    </row>
    <row r="4" spans="1:13" x14ac:dyDescent="0.25">
      <c r="A4" s="11">
        <v>45525</v>
      </c>
      <c r="B4" s="12">
        <v>226.4</v>
      </c>
      <c r="C4" s="12">
        <v>161.43</v>
      </c>
      <c r="D4" s="13">
        <v>424.14</v>
      </c>
      <c r="E4" s="15">
        <f>(B4-B3)/B3</f>
        <v>-4.8562977351986769E-4</v>
      </c>
      <c r="F4" s="15">
        <f t="shared" ref="F4:G4" si="1">(C4-C3)/C3</f>
        <v>7.9295704295704941E-3</v>
      </c>
      <c r="G4" s="15">
        <f t="shared" si="1"/>
        <v>-1.5536723163842396E-3</v>
      </c>
      <c r="I4" s="4"/>
      <c r="J4" s="14"/>
      <c r="K4" s="14"/>
      <c r="L4" s="14"/>
    </row>
    <row r="5" spans="1:13" x14ac:dyDescent="0.25">
      <c r="A5" s="11">
        <v>45526</v>
      </c>
      <c r="B5" s="12">
        <v>224.53</v>
      </c>
      <c r="C5" s="12">
        <v>162.35</v>
      </c>
      <c r="D5" s="13">
        <v>415.55</v>
      </c>
      <c r="E5" s="15">
        <f>(B5-B4)/B4</f>
        <v>-8.2597173144876527E-3</v>
      </c>
      <c r="F5" s="15">
        <f t="shared" ref="F5:F68" si="2">(C5-C4)/C4</f>
        <v>5.6990646100476211E-3</v>
      </c>
      <c r="G5" s="15">
        <f t="shared" ref="G5:G68" si="3">(D5-D4)/D4</f>
        <v>-2.0252746734568717E-2</v>
      </c>
      <c r="I5" s="4" t="s">
        <v>17</v>
      </c>
      <c r="J5" s="14">
        <f>CORREL(E4:E128,F4:F128)</f>
        <v>-6.3901502209265465E-2</v>
      </c>
      <c r="K5" s="14"/>
      <c r="L5" s="14"/>
    </row>
    <row r="6" spans="1:13" x14ac:dyDescent="0.25">
      <c r="A6" s="11">
        <v>45527</v>
      </c>
      <c r="B6" s="12">
        <v>226.84</v>
      </c>
      <c r="C6" s="12">
        <v>164.13</v>
      </c>
      <c r="D6" s="13">
        <v>416.79</v>
      </c>
      <c r="E6" s="15">
        <f t="shared" ref="E6:E68" si="4">(B6-B5)/B5</f>
        <v>1.0288157484523237E-2</v>
      </c>
      <c r="F6" s="15">
        <f t="shared" si="2"/>
        <v>1.096396673852788E-2</v>
      </c>
      <c r="G6" s="15">
        <f t="shared" si="3"/>
        <v>2.9839971122608811E-3</v>
      </c>
      <c r="I6" s="4" t="s">
        <v>22</v>
      </c>
      <c r="J6" s="14">
        <f>CORREL(E4:E128,G4:G128)</f>
        <v>0.44410308246076091</v>
      </c>
      <c r="K6" s="14"/>
      <c r="L6" s="14"/>
    </row>
    <row r="7" spans="1:13" x14ac:dyDescent="0.25">
      <c r="A7" s="11">
        <v>45530</v>
      </c>
      <c r="B7" s="12">
        <v>227.18</v>
      </c>
      <c r="C7" s="12">
        <v>164.61</v>
      </c>
      <c r="D7" s="13">
        <v>413.49</v>
      </c>
      <c r="E7" s="15">
        <f t="shared" si="4"/>
        <v>1.4988538176688565E-3</v>
      </c>
      <c r="F7" s="34">
        <f>(C7-C6)/C6</f>
        <v>2.9245110583075501E-3</v>
      </c>
      <c r="G7" s="15">
        <f t="shared" si="3"/>
        <v>-7.9176563737134078E-3</v>
      </c>
      <c r="H7" s="3" t="s">
        <v>18</v>
      </c>
      <c r="I7" s="4" t="s">
        <v>23</v>
      </c>
      <c r="J7" s="10">
        <f>CORREL(F4:F128,G4:G128)</f>
        <v>-0.23914428413450917</v>
      </c>
    </row>
    <row r="8" spans="1:13" x14ac:dyDescent="0.25">
      <c r="A8" s="11">
        <v>45531</v>
      </c>
      <c r="B8" s="12">
        <v>228.03</v>
      </c>
      <c r="C8" s="12">
        <v>162.94999999999999</v>
      </c>
      <c r="D8" s="13">
        <v>413.84</v>
      </c>
      <c r="E8" s="15">
        <f t="shared" si="4"/>
        <v>3.7415265428294492E-3</v>
      </c>
      <c r="F8" s="15">
        <f t="shared" si="2"/>
        <v>-1.0084442014458569E-2</v>
      </c>
      <c r="G8" s="15">
        <f t="shared" si="3"/>
        <v>8.4645336041975832E-4</v>
      </c>
      <c r="I8" s="4"/>
      <c r="J8" s="10"/>
    </row>
    <row r="9" spans="1:13" ht="15.75" x14ac:dyDescent="0.25">
      <c r="A9" s="11">
        <v>45532</v>
      </c>
      <c r="B9" s="12">
        <v>226.49</v>
      </c>
      <c r="C9" s="12">
        <v>163.92</v>
      </c>
      <c r="D9" s="13">
        <v>410.6</v>
      </c>
      <c r="E9" s="15">
        <f t="shared" si="4"/>
        <v>-6.7534973468402933E-3</v>
      </c>
      <c r="F9" s="15">
        <f t="shared" si="2"/>
        <v>5.9527462411782693E-3</v>
      </c>
      <c r="G9" s="15">
        <f t="shared" si="3"/>
        <v>-7.829112700560489E-3</v>
      </c>
      <c r="I9" s="36" t="s">
        <v>9</v>
      </c>
      <c r="J9" s="36"/>
      <c r="K9" s="36"/>
      <c r="L9" s="36"/>
    </row>
    <row r="10" spans="1:13" x14ac:dyDescent="0.25">
      <c r="A10" s="11">
        <v>45533</v>
      </c>
      <c r="B10" s="12">
        <v>229.79</v>
      </c>
      <c r="C10" s="12">
        <v>164.23</v>
      </c>
      <c r="D10" s="13">
        <v>413.12</v>
      </c>
      <c r="E10" s="15">
        <f t="shared" si="4"/>
        <v>1.4570179698882878E-2</v>
      </c>
      <c r="F10" s="15">
        <f t="shared" si="2"/>
        <v>1.8911664226452067E-3</v>
      </c>
      <c r="G10" s="15">
        <f t="shared" si="3"/>
        <v>6.1373599610325905E-3</v>
      </c>
      <c r="J10" s="5" t="s">
        <v>4</v>
      </c>
      <c r="K10" s="5" t="s">
        <v>5</v>
      </c>
      <c r="L10" s="5" t="s">
        <v>20</v>
      </c>
      <c r="M10" s="25" t="s">
        <v>19</v>
      </c>
    </row>
    <row r="11" spans="1:13" x14ac:dyDescent="0.25">
      <c r="A11" s="11">
        <v>45534</v>
      </c>
      <c r="B11" s="12">
        <v>229</v>
      </c>
      <c r="C11" s="12">
        <v>165.86</v>
      </c>
      <c r="D11" s="13">
        <v>417.14</v>
      </c>
      <c r="E11" s="15">
        <f t="shared" si="4"/>
        <v>-3.4379215805735329E-3</v>
      </c>
      <c r="F11" s="15">
        <f t="shared" si="2"/>
        <v>9.9251050356209212E-3</v>
      </c>
      <c r="G11" s="15">
        <f t="shared" si="3"/>
        <v>9.7308288148721476E-3</v>
      </c>
      <c r="I11" s="5" t="s">
        <v>4</v>
      </c>
      <c r="J11" s="16">
        <f>_xlfn.COVARIANCE.P(E3:E128,E3:E128)</f>
        <v>1.8623093652149765E-4</v>
      </c>
      <c r="K11" s="17">
        <f>_xlfn.COVARIANCE.P(E3:E128,F3:F128)</f>
        <v>-8.5676272804618852E-6</v>
      </c>
      <c r="L11" s="17">
        <f>_xlfn.COVARIANCE.P(E3:E128,G3:G128)</f>
        <v>8.3555968844137833E-5</v>
      </c>
      <c r="M11" s="18">
        <v>0.3</v>
      </c>
    </row>
    <row r="12" spans="1:13" x14ac:dyDescent="0.25">
      <c r="A12" s="11">
        <v>45538</v>
      </c>
      <c r="B12" s="12">
        <v>222.77</v>
      </c>
      <c r="C12" s="12">
        <v>167.16</v>
      </c>
      <c r="D12" s="13">
        <v>409.44</v>
      </c>
      <c r="E12" s="15">
        <f t="shared" si="4"/>
        <v>-2.7205240174672445E-2</v>
      </c>
      <c r="F12" s="15">
        <f t="shared" si="2"/>
        <v>7.8379356083442837E-3</v>
      </c>
      <c r="G12" s="15">
        <f t="shared" si="3"/>
        <v>-1.8459030541305051E-2</v>
      </c>
      <c r="I12" s="5" t="s">
        <v>5</v>
      </c>
      <c r="J12" s="17">
        <f>_xlfn.COVARIANCE.P(F3:F128,E3:E128)</f>
        <v>-8.5676272804618852E-6</v>
      </c>
      <c r="K12" s="16">
        <f>_xlfn.COVARIANCE.P(F3:F128,F3:F128)</f>
        <v>9.6526635149888119E-5</v>
      </c>
      <c r="L12" s="17">
        <f>_xlfn.COVARIANCE.P(F3:F128,G3:G128)</f>
        <v>-3.2393014605944912E-5</v>
      </c>
      <c r="M12" s="18">
        <v>0.2</v>
      </c>
    </row>
    <row r="13" spans="1:13" x14ac:dyDescent="0.25">
      <c r="A13" s="11">
        <v>45539</v>
      </c>
      <c r="B13" s="12">
        <v>220.85</v>
      </c>
      <c r="C13" s="12">
        <v>167.36</v>
      </c>
      <c r="D13" s="13">
        <v>408.9</v>
      </c>
      <c r="E13" s="15">
        <f t="shared" si="4"/>
        <v>-8.6187547694932705E-3</v>
      </c>
      <c r="F13" s="15">
        <f t="shared" si="2"/>
        <v>1.1964584828907457E-3</v>
      </c>
      <c r="G13" s="15">
        <f t="shared" si="3"/>
        <v>-1.3188745603751966E-3</v>
      </c>
      <c r="I13" s="5" t="s">
        <v>20</v>
      </c>
      <c r="J13" s="17">
        <f>_xlfn.COVARIANCE.P(G3:G128,E3:E128)</f>
        <v>8.3555968844137833E-5</v>
      </c>
      <c r="K13" s="17">
        <f>_xlfn.COVARIANCE.P(G3:G128,F3:F128)</f>
        <v>-3.2393014605944912E-5</v>
      </c>
      <c r="L13" s="16">
        <f>_xlfn.COVARIANCE.P(G3:G128,G3:G128)</f>
        <v>7.5260259497506564E-4</v>
      </c>
      <c r="M13" s="18">
        <v>0.5</v>
      </c>
    </row>
    <row r="14" spans="1:13" x14ac:dyDescent="0.25">
      <c r="A14" s="11">
        <v>45540</v>
      </c>
      <c r="B14" s="12">
        <v>222.38</v>
      </c>
      <c r="C14" s="12">
        <v>164.99</v>
      </c>
      <c r="D14" s="13">
        <v>408.39</v>
      </c>
      <c r="E14" s="15">
        <f t="shared" si="4"/>
        <v>6.9277790355444929E-3</v>
      </c>
      <c r="F14" s="15">
        <f t="shared" si="2"/>
        <v>-1.4161089866156815E-2</v>
      </c>
      <c r="G14" s="15">
        <f t="shared" si="3"/>
        <v>-1.247248716067476E-3</v>
      </c>
      <c r="J14" s="17"/>
      <c r="K14" s="17"/>
      <c r="L14" s="16"/>
      <c r="M14" s="18"/>
    </row>
    <row r="15" spans="1:13" x14ac:dyDescent="0.25">
      <c r="A15" s="11">
        <v>45541</v>
      </c>
      <c r="B15" s="12">
        <v>220.82</v>
      </c>
      <c r="C15" s="12">
        <v>164.38</v>
      </c>
      <c r="D15" s="13">
        <v>401.7</v>
      </c>
      <c r="E15" s="15">
        <f t="shared" si="4"/>
        <v>-7.0150193362712582E-3</v>
      </c>
      <c r="F15" s="15">
        <f t="shared" si="2"/>
        <v>-3.6971937693194351E-3</v>
      </c>
      <c r="G15" s="15">
        <f t="shared" si="3"/>
        <v>-1.6381400132226543E-2</v>
      </c>
      <c r="I15" s="5" t="s">
        <v>11</v>
      </c>
      <c r="J15" s="14">
        <f>AVERAGE(E3:E128)</f>
        <v>7.4837521011487582E-4</v>
      </c>
      <c r="K15" s="14">
        <f>AVERAGE(F3:F128)</f>
        <v>2.4134325393789014E-5</v>
      </c>
      <c r="L15" s="14">
        <f>AVERAGE(G3:G128)</f>
        <v>2.055429314288031E-3</v>
      </c>
      <c r="M15" s="18"/>
    </row>
    <row r="16" spans="1:13" x14ac:dyDescent="0.25">
      <c r="A16" s="11">
        <v>45544</v>
      </c>
      <c r="B16" s="12">
        <v>220.91</v>
      </c>
      <c r="C16" s="12">
        <v>166.61</v>
      </c>
      <c r="D16" s="13">
        <v>405.72</v>
      </c>
      <c r="E16" s="15">
        <f t="shared" si="4"/>
        <v>4.0757177791868223E-4</v>
      </c>
      <c r="F16" s="15">
        <f t="shared" si="2"/>
        <v>1.3566127266090876E-2</v>
      </c>
      <c r="G16" s="15">
        <f t="shared" si="3"/>
        <v>1.0007468259895541E-2</v>
      </c>
      <c r="J16" s="17"/>
      <c r="K16" s="17"/>
      <c r="L16" s="16"/>
    </row>
    <row r="17" spans="1:15" ht="72" x14ac:dyDescent="0.25">
      <c r="A17" s="11">
        <v>45545</v>
      </c>
      <c r="B17" s="12">
        <v>220.11</v>
      </c>
      <c r="C17" s="12">
        <v>167.38</v>
      </c>
      <c r="D17" s="13">
        <v>414.2</v>
      </c>
      <c r="E17" s="15">
        <f t="shared" si="4"/>
        <v>-3.6213842741387122E-3</v>
      </c>
      <c r="F17" s="15">
        <f t="shared" si="2"/>
        <v>4.6215713342535368E-3</v>
      </c>
      <c r="G17" s="15">
        <f t="shared" si="3"/>
        <v>2.0901114068815837E-2</v>
      </c>
      <c r="J17" s="5" t="s">
        <v>4</v>
      </c>
      <c r="K17" s="5" t="s">
        <v>5</v>
      </c>
      <c r="L17" s="5" t="s">
        <v>20</v>
      </c>
      <c r="M17" s="5" t="s">
        <v>13</v>
      </c>
      <c r="N17" s="19" t="s">
        <v>16</v>
      </c>
      <c r="O17" s="19" t="s">
        <v>12</v>
      </c>
    </row>
    <row r="18" spans="1:15" x14ac:dyDescent="0.25">
      <c r="A18" s="11">
        <v>45546</v>
      </c>
      <c r="B18" s="12">
        <v>222.66</v>
      </c>
      <c r="C18" s="12">
        <v>164.82</v>
      </c>
      <c r="D18" s="13">
        <v>423.04</v>
      </c>
      <c r="E18" s="15">
        <f t="shared" si="4"/>
        <v>1.1585116532642692E-2</v>
      </c>
      <c r="F18" s="15">
        <f t="shared" si="2"/>
        <v>-1.5294539371490036E-2</v>
      </c>
      <c r="G18" s="15">
        <f t="shared" si="3"/>
        <v>2.13423466924192E-2</v>
      </c>
      <c r="I18" s="5" t="s">
        <v>10</v>
      </c>
      <c r="J18" s="18">
        <v>0.35047963941718874</v>
      </c>
      <c r="K18" s="18">
        <v>0.43068991870873019</v>
      </c>
      <c r="L18" s="18">
        <v>0.21883043643065275</v>
      </c>
      <c r="M18" s="18">
        <f>SUM(J18:L18)</f>
        <v>0.99999999455657163</v>
      </c>
      <c r="N18" s="20">
        <f>SQRT(J18^2*J2^2+K18^2*K2^2+L18^2*L2^2+2*J18*K18*J5*J2*K2+2*K18*L18*J6*K2*L2+2*J18*L18*J7*J2*L2)</f>
        <v>9.1504665401650528E-3</v>
      </c>
      <c r="O18" s="21">
        <f>SUMPRODUCT(J15:L15,J18:L18)</f>
        <v>7.224751783297727E-4</v>
      </c>
    </row>
    <row r="19" spans="1:15" x14ac:dyDescent="0.25">
      <c r="A19" s="11">
        <v>45547</v>
      </c>
      <c r="B19" s="12">
        <v>222.77</v>
      </c>
      <c r="C19" s="12">
        <v>164.64</v>
      </c>
      <c r="D19" s="13">
        <v>427</v>
      </c>
      <c r="E19" s="15">
        <f t="shared" si="4"/>
        <v>4.9402676726854238E-4</v>
      </c>
      <c r="F19" s="15">
        <f t="shared" si="2"/>
        <v>-1.0921004732435799E-3</v>
      </c>
      <c r="G19" s="15">
        <f t="shared" si="3"/>
        <v>9.3608169440241567E-3</v>
      </c>
    </row>
    <row r="20" spans="1:15" x14ac:dyDescent="0.25">
      <c r="A20" s="11">
        <v>45548</v>
      </c>
      <c r="B20" s="12">
        <v>222.5</v>
      </c>
      <c r="C20" s="12">
        <v>165.52</v>
      </c>
      <c r="D20" s="13">
        <v>430.59</v>
      </c>
      <c r="E20" s="15">
        <f t="shared" si="4"/>
        <v>-1.2120123894600271E-3</v>
      </c>
      <c r="F20" s="15">
        <f>(C20-C19)/C19</f>
        <v>5.344995140913654E-3</v>
      </c>
      <c r="G20" s="15">
        <f t="shared" si="3"/>
        <v>8.4074941451990053E-3</v>
      </c>
    </row>
    <row r="21" spans="1:15" x14ac:dyDescent="0.25">
      <c r="A21" s="11">
        <v>45551</v>
      </c>
      <c r="B21" s="12">
        <v>216.32</v>
      </c>
      <c r="C21" s="12">
        <v>166.99</v>
      </c>
      <c r="D21" s="13">
        <v>431.34</v>
      </c>
      <c r="E21" s="15">
        <f t="shared" si="4"/>
        <v>-2.7775280898876435E-2</v>
      </c>
      <c r="F21" s="15">
        <f t="shared" si="2"/>
        <v>8.8811019816336326E-3</v>
      </c>
      <c r="G21" s="15">
        <f t="shared" si="3"/>
        <v>1.7417961401797535E-3</v>
      </c>
    </row>
    <row r="22" spans="1:15" x14ac:dyDescent="0.25">
      <c r="A22" s="11">
        <v>45552</v>
      </c>
      <c r="B22" s="12">
        <v>216.79</v>
      </c>
      <c r="C22" s="12">
        <v>167.07</v>
      </c>
      <c r="D22" s="13">
        <v>435.15</v>
      </c>
      <c r="E22" s="15">
        <f t="shared" si="4"/>
        <v>2.1727071005917106E-3</v>
      </c>
      <c r="F22" s="15">
        <f t="shared" si="2"/>
        <v>4.790706030300262E-4</v>
      </c>
      <c r="G22" s="15">
        <f t="shared" si="3"/>
        <v>8.8329392126860543E-3</v>
      </c>
    </row>
    <row r="23" spans="1:15" x14ac:dyDescent="0.25">
      <c r="A23" s="11">
        <v>45553</v>
      </c>
      <c r="B23" s="12">
        <v>220.69</v>
      </c>
      <c r="C23" s="12">
        <v>166.15</v>
      </c>
      <c r="D23" s="13">
        <v>430.81</v>
      </c>
      <c r="E23" s="15">
        <f t="shared" si="4"/>
        <v>1.7989759675261802E-2</v>
      </c>
      <c r="F23" s="15">
        <f t="shared" si="2"/>
        <v>-5.5066738492846566E-3</v>
      </c>
      <c r="G23" s="15">
        <f t="shared" si="3"/>
        <v>-9.973572331379927E-3</v>
      </c>
    </row>
    <row r="24" spans="1:15" x14ac:dyDescent="0.25">
      <c r="A24" s="11">
        <v>45554</v>
      </c>
      <c r="B24" s="12">
        <v>228.87</v>
      </c>
      <c r="C24" s="12">
        <v>164.82</v>
      </c>
      <c r="D24" s="13">
        <v>438.69</v>
      </c>
      <c r="E24" s="15">
        <f t="shared" si="4"/>
        <v>3.706556708505146E-2</v>
      </c>
      <c r="F24" s="15">
        <f t="shared" si="2"/>
        <v>-8.0048149262715168E-3</v>
      </c>
      <c r="G24" s="15">
        <f t="shared" si="3"/>
        <v>1.8291126018430387E-2</v>
      </c>
    </row>
    <row r="25" spans="1:15" x14ac:dyDescent="0.25">
      <c r="A25" s="11">
        <v>45555</v>
      </c>
      <c r="B25" s="12">
        <v>228.2</v>
      </c>
      <c r="C25" s="12">
        <v>164.16</v>
      </c>
      <c r="D25" s="13">
        <v>435.27</v>
      </c>
      <c r="E25" s="15">
        <f t="shared" si="4"/>
        <v>-2.9274260497226196E-3</v>
      </c>
      <c r="F25" s="15">
        <f t="shared" si="2"/>
        <v>-4.0043684018929533E-3</v>
      </c>
      <c r="G25" s="15">
        <f t="shared" si="3"/>
        <v>-7.7959379060384693E-3</v>
      </c>
    </row>
    <row r="26" spans="1:15" x14ac:dyDescent="0.25">
      <c r="A26" s="11">
        <v>45558</v>
      </c>
      <c r="B26" s="12">
        <v>226.47</v>
      </c>
      <c r="C26" s="12">
        <v>163.22</v>
      </c>
      <c r="D26" s="13">
        <v>433.51</v>
      </c>
      <c r="E26" s="15">
        <f t="shared" si="4"/>
        <v>-7.5810692375109104E-3</v>
      </c>
      <c r="F26" s="15">
        <f t="shared" si="2"/>
        <v>-5.7261208576997917E-3</v>
      </c>
      <c r="G26" s="15">
        <f t="shared" si="3"/>
        <v>-4.0434672731867365E-3</v>
      </c>
    </row>
    <row r="27" spans="1:15" x14ac:dyDescent="0.25">
      <c r="A27" s="11">
        <v>45559</v>
      </c>
      <c r="B27" s="12">
        <v>227.37</v>
      </c>
      <c r="C27" s="12">
        <v>162.78</v>
      </c>
      <c r="D27" s="13">
        <v>429.17</v>
      </c>
      <c r="E27" s="15">
        <f t="shared" si="4"/>
        <v>3.9740362961981973E-3</v>
      </c>
      <c r="F27" s="15">
        <f t="shared" si="2"/>
        <v>-2.695748070089436E-3</v>
      </c>
      <c r="G27" s="15">
        <f t="shared" si="3"/>
        <v>-1.0011303084127184E-2</v>
      </c>
    </row>
    <row r="28" spans="1:15" x14ac:dyDescent="0.25">
      <c r="A28" s="11">
        <v>45560</v>
      </c>
      <c r="B28" s="12">
        <v>226.37</v>
      </c>
      <c r="C28" s="12">
        <v>160.6</v>
      </c>
      <c r="D28" s="13">
        <v>432.11</v>
      </c>
      <c r="E28" s="15">
        <f t="shared" si="4"/>
        <v>-4.3981176056647753E-3</v>
      </c>
      <c r="F28" s="15">
        <f t="shared" si="2"/>
        <v>-1.3392308637424787E-2</v>
      </c>
      <c r="G28" s="15">
        <f t="shared" si="3"/>
        <v>6.85043222965258E-3</v>
      </c>
    </row>
    <row r="29" spans="1:15" x14ac:dyDescent="0.25">
      <c r="A29" s="11">
        <v>45561</v>
      </c>
      <c r="B29" s="12">
        <v>227.52</v>
      </c>
      <c r="C29" s="12">
        <v>161.38999999999999</v>
      </c>
      <c r="D29" s="13">
        <v>431.31</v>
      </c>
      <c r="E29" s="15">
        <f t="shared" si="4"/>
        <v>5.0801784688784104E-3</v>
      </c>
      <c r="F29" s="15">
        <f t="shared" si="2"/>
        <v>4.9190535491904861E-3</v>
      </c>
      <c r="G29" s="15">
        <f t="shared" si="3"/>
        <v>-1.8513804355372737E-3</v>
      </c>
    </row>
    <row r="30" spans="1:15" x14ac:dyDescent="0.25">
      <c r="A30" s="11">
        <v>45562</v>
      </c>
      <c r="B30" s="12">
        <v>227.79</v>
      </c>
      <c r="C30" s="12">
        <v>161.4</v>
      </c>
      <c r="D30" s="13">
        <v>428.02</v>
      </c>
      <c r="E30" s="15">
        <f t="shared" si="4"/>
        <v>1.1867088607594137E-3</v>
      </c>
      <c r="F30" s="15">
        <f t="shared" si="2"/>
        <v>6.1961707664783E-5</v>
      </c>
      <c r="G30" s="15">
        <f t="shared" si="3"/>
        <v>-7.6279242308316996E-3</v>
      </c>
    </row>
    <row r="31" spans="1:15" x14ac:dyDescent="0.25">
      <c r="A31" s="11">
        <v>45565</v>
      </c>
      <c r="B31" s="12">
        <v>233</v>
      </c>
      <c r="C31" s="12">
        <v>162.06</v>
      </c>
      <c r="D31" s="13">
        <v>430.3</v>
      </c>
      <c r="E31" s="15">
        <f t="shared" si="4"/>
        <v>2.2871943456692603E-2</v>
      </c>
      <c r="F31" s="15">
        <f t="shared" si="2"/>
        <v>4.0892193308549969E-3</v>
      </c>
      <c r="G31" s="15">
        <f t="shared" si="3"/>
        <v>5.3268538853325307E-3</v>
      </c>
    </row>
    <row r="32" spans="1:15" x14ac:dyDescent="0.25">
      <c r="A32" s="11">
        <v>45566</v>
      </c>
      <c r="B32" s="12">
        <v>226.21</v>
      </c>
      <c r="C32" s="12">
        <v>161.99</v>
      </c>
      <c r="D32" s="13">
        <v>420.69</v>
      </c>
      <c r="E32" s="15">
        <f t="shared" si="4"/>
        <v>-2.9141630901287519E-2</v>
      </c>
      <c r="F32" s="15">
        <f t="shared" si="2"/>
        <v>-4.3193878810312956E-4</v>
      </c>
      <c r="G32" s="15">
        <f t="shared" si="3"/>
        <v>-2.2333255867999103E-2</v>
      </c>
    </row>
    <row r="33" spans="1:7" x14ac:dyDescent="0.25">
      <c r="A33" s="11">
        <v>45567</v>
      </c>
      <c r="B33" s="12">
        <v>226.78</v>
      </c>
      <c r="C33" s="12">
        <v>161.16999999999999</v>
      </c>
      <c r="D33" s="13">
        <v>417.13</v>
      </c>
      <c r="E33" s="15">
        <f t="shared" si="4"/>
        <v>2.5197825029839227E-3</v>
      </c>
      <c r="F33" s="15">
        <f t="shared" si="2"/>
        <v>-5.0620408667203009E-3</v>
      </c>
      <c r="G33" s="15">
        <f t="shared" si="3"/>
        <v>-8.462288145665459E-3</v>
      </c>
    </row>
    <row r="34" spans="1:7" x14ac:dyDescent="0.25">
      <c r="A34" s="11">
        <v>45568</v>
      </c>
      <c r="B34" s="12">
        <v>225.67</v>
      </c>
      <c r="C34" s="12">
        <v>160.5</v>
      </c>
      <c r="D34" s="13">
        <v>416.54</v>
      </c>
      <c r="E34" s="15">
        <f t="shared" si="4"/>
        <v>-4.8946115177705869E-3</v>
      </c>
      <c r="F34" s="15">
        <f t="shared" si="2"/>
        <v>-4.1571011974932525E-3</v>
      </c>
      <c r="G34" s="15">
        <f t="shared" si="3"/>
        <v>-1.4144271570013544E-3</v>
      </c>
    </row>
    <row r="35" spans="1:7" x14ac:dyDescent="0.25">
      <c r="A35" s="11">
        <v>45569</v>
      </c>
      <c r="B35" s="12">
        <v>226.8</v>
      </c>
      <c r="C35" s="12">
        <v>160.29</v>
      </c>
      <c r="D35" s="13">
        <v>416.06</v>
      </c>
      <c r="E35" s="15">
        <f t="shared" si="4"/>
        <v>5.0073115611291887E-3</v>
      </c>
      <c r="F35" s="15">
        <f t="shared" si="2"/>
        <v>-1.3084112149533205E-3</v>
      </c>
      <c r="G35" s="15">
        <f t="shared" si="3"/>
        <v>-1.1523503144956503E-3</v>
      </c>
    </row>
    <row r="36" spans="1:7" x14ac:dyDescent="0.25">
      <c r="A36" s="11">
        <v>45572</v>
      </c>
      <c r="B36" s="12">
        <v>221.69</v>
      </c>
      <c r="C36" s="12">
        <v>159.53</v>
      </c>
      <c r="D36" s="13">
        <v>409.54</v>
      </c>
      <c r="E36" s="15">
        <f t="shared" si="4"/>
        <v>-2.2530864197530923E-2</v>
      </c>
      <c r="F36" s="15">
        <f t="shared" si="2"/>
        <v>-4.7414062012601597E-3</v>
      </c>
      <c r="G36" s="15">
        <f t="shared" si="3"/>
        <v>-1.5670816709128448E-2</v>
      </c>
    </row>
    <row r="37" spans="1:7" x14ac:dyDescent="0.25">
      <c r="A37" s="11">
        <v>45573</v>
      </c>
      <c r="B37" s="12">
        <v>225.77</v>
      </c>
      <c r="C37" s="12">
        <v>159.69</v>
      </c>
      <c r="D37" s="13">
        <v>414.71</v>
      </c>
      <c r="E37" s="15">
        <f t="shared" si="4"/>
        <v>1.8404077766250224E-2</v>
      </c>
      <c r="F37" s="15">
        <f t="shared" si="2"/>
        <v>1.0029461543283181E-3</v>
      </c>
      <c r="G37" s="15">
        <f t="shared" si="3"/>
        <v>1.2623919519460758E-2</v>
      </c>
    </row>
    <row r="38" spans="1:7" x14ac:dyDescent="0.25">
      <c r="A38" s="11">
        <v>45574</v>
      </c>
      <c r="B38" s="12">
        <v>229.54</v>
      </c>
      <c r="C38" s="12">
        <v>160.65</v>
      </c>
      <c r="D38" s="13">
        <v>417.46</v>
      </c>
      <c r="E38" s="15">
        <f t="shared" si="4"/>
        <v>1.6698409886167258E-2</v>
      </c>
      <c r="F38" s="15">
        <f t="shared" si="2"/>
        <v>6.0116475671614248E-3</v>
      </c>
      <c r="G38" s="15">
        <f t="shared" si="3"/>
        <v>6.6311398326541439E-3</v>
      </c>
    </row>
    <row r="39" spans="1:7" x14ac:dyDescent="0.25">
      <c r="A39" s="11">
        <v>45575</v>
      </c>
      <c r="B39" s="12">
        <v>229.04</v>
      </c>
      <c r="C39" s="12">
        <v>160.51</v>
      </c>
      <c r="D39" s="13">
        <v>415.84</v>
      </c>
      <c r="E39" s="15">
        <f t="shared" si="4"/>
        <v>-2.178269582643548E-3</v>
      </c>
      <c r="F39" s="15">
        <f t="shared" si="2"/>
        <v>-8.7145969498919867E-4</v>
      </c>
      <c r="G39" s="15">
        <f t="shared" si="3"/>
        <v>-3.8806113160542439E-3</v>
      </c>
    </row>
    <row r="40" spans="1:7" x14ac:dyDescent="0.25">
      <c r="A40" s="11">
        <v>45576</v>
      </c>
      <c r="B40" s="12">
        <v>227.55</v>
      </c>
      <c r="C40" s="12">
        <v>161.46</v>
      </c>
      <c r="D40" s="13">
        <v>416.32</v>
      </c>
      <c r="E40" s="15">
        <f t="shared" si="4"/>
        <v>-6.5054139015018365E-3</v>
      </c>
      <c r="F40" s="15">
        <f t="shared" si="2"/>
        <v>5.91863435299992E-3</v>
      </c>
      <c r="G40" s="15">
        <f t="shared" si="3"/>
        <v>1.1542901115814213E-3</v>
      </c>
    </row>
    <row r="41" spans="1:7" x14ac:dyDescent="0.25">
      <c r="A41" s="11">
        <v>45579</v>
      </c>
      <c r="B41" s="12">
        <v>231.3</v>
      </c>
      <c r="C41" s="12">
        <v>161.6</v>
      </c>
      <c r="D41" s="13">
        <v>419.14</v>
      </c>
      <c r="E41" s="15">
        <f t="shared" si="4"/>
        <v>1.6479894528675015E-2</v>
      </c>
      <c r="F41" s="15">
        <f t="shared" si="2"/>
        <v>8.6708782360947825E-4</v>
      </c>
      <c r="G41" s="15">
        <f t="shared" si="3"/>
        <v>6.7736356648731583E-3</v>
      </c>
    </row>
    <row r="42" spans="1:7" x14ac:dyDescent="0.25">
      <c r="A42" s="11">
        <v>45580</v>
      </c>
      <c r="B42" s="12">
        <v>233.85</v>
      </c>
      <c r="C42" s="12">
        <v>164.1</v>
      </c>
      <c r="D42" s="13">
        <v>418.74</v>
      </c>
      <c r="E42" s="15">
        <f t="shared" si="4"/>
        <v>1.1024643320363091E-2</v>
      </c>
      <c r="F42" s="15">
        <f t="shared" si="2"/>
        <v>1.547029702970297E-2</v>
      </c>
      <c r="G42" s="15">
        <f t="shared" si="3"/>
        <v>-9.5433506704198422E-4</v>
      </c>
    </row>
    <row r="43" spans="1:7" x14ac:dyDescent="0.25">
      <c r="A43" s="11">
        <v>45581</v>
      </c>
      <c r="B43" s="12">
        <v>231.78</v>
      </c>
      <c r="C43" s="12">
        <v>164.28</v>
      </c>
      <c r="D43" s="13">
        <v>416.12</v>
      </c>
      <c r="E43" s="15">
        <f t="shared" si="4"/>
        <v>-8.8518280949326199E-3</v>
      </c>
      <c r="F43" s="15">
        <f t="shared" si="2"/>
        <v>1.0968921389397125E-3</v>
      </c>
      <c r="G43" s="15">
        <f t="shared" si="3"/>
        <v>-6.2568658356020549E-3</v>
      </c>
    </row>
    <row r="44" spans="1:7" x14ac:dyDescent="0.25">
      <c r="A44" s="11">
        <v>45582</v>
      </c>
      <c r="B44" s="12">
        <v>232.15</v>
      </c>
      <c r="C44" s="12">
        <v>164.47</v>
      </c>
      <c r="D44" s="13">
        <v>416.72</v>
      </c>
      <c r="E44" s="15">
        <f t="shared" si="4"/>
        <v>1.5963413581845049E-3</v>
      </c>
      <c r="F44" s="15">
        <f t="shared" si="2"/>
        <v>1.1565619673727643E-3</v>
      </c>
      <c r="G44" s="15">
        <f t="shared" si="3"/>
        <v>1.4418917619917879E-3</v>
      </c>
    </row>
    <row r="45" spans="1:7" x14ac:dyDescent="0.25">
      <c r="A45" s="11">
        <v>45583</v>
      </c>
      <c r="B45" s="12">
        <v>235</v>
      </c>
      <c r="C45" s="12">
        <v>165.12</v>
      </c>
      <c r="D45" s="13">
        <v>418.16</v>
      </c>
      <c r="E45" s="15">
        <f t="shared" si="4"/>
        <v>1.2276545337066527E-2</v>
      </c>
      <c r="F45" s="15">
        <f t="shared" si="2"/>
        <v>3.9520885267830342E-3</v>
      </c>
      <c r="G45" s="15">
        <f t="shared" si="3"/>
        <v>3.4555576886158516E-3</v>
      </c>
    </row>
    <row r="46" spans="1:7" x14ac:dyDescent="0.25">
      <c r="A46" s="11">
        <v>45586</v>
      </c>
      <c r="B46" s="12">
        <v>236.48</v>
      </c>
      <c r="C46" s="12">
        <v>162.83000000000001</v>
      </c>
      <c r="D46" s="13">
        <v>418.78</v>
      </c>
      <c r="E46" s="15">
        <f t="shared" si="4"/>
        <v>6.2978723404254885E-3</v>
      </c>
      <c r="F46" s="15">
        <f t="shared" si="2"/>
        <v>-1.3868701550387549E-2</v>
      </c>
      <c r="G46" s="15">
        <f t="shared" si="3"/>
        <v>1.4826860531852585E-3</v>
      </c>
    </row>
    <row r="47" spans="1:7" x14ac:dyDescent="0.25">
      <c r="A47" s="11">
        <v>45587</v>
      </c>
      <c r="B47" s="12">
        <v>235.86</v>
      </c>
      <c r="C47" s="12">
        <v>163.44999999999999</v>
      </c>
      <c r="D47" s="13">
        <v>427.51</v>
      </c>
      <c r="E47" s="15">
        <f t="shared" si="4"/>
        <v>-2.6217861975641752E-3</v>
      </c>
      <c r="F47" s="15">
        <f t="shared" si="2"/>
        <v>3.8076521525515941E-3</v>
      </c>
      <c r="G47" s="15">
        <f t="shared" si="3"/>
        <v>2.0846267730073115E-2</v>
      </c>
    </row>
    <row r="48" spans="1:7" x14ac:dyDescent="0.25">
      <c r="A48" s="11">
        <v>45588</v>
      </c>
      <c r="B48" s="12">
        <v>230.76</v>
      </c>
      <c r="C48" s="12">
        <v>165.86</v>
      </c>
      <c r="D48" s="13">
        <v>424.6</v>
      </c>
      <c r="E48" s="15">
        <f t="shared" si="4"/>
        <v>-2.1622996692953544E-2</v>
      </c>
      <c r="F48" s="15">
        <f t="shared" si="2"/>
        <v>1.4744570204955797E-2</v>
      </c>
      <c r="G48" s="15">
        <f t="shared" si="3"/>
        <v>-6.8068583191035724E-3</v>
      </c>
    </row>
    <row r="49" spans="1:7" x14ac:dyDescent="0.25">
      <c r="A49" s="11">
        <v>45589</v>
      </c>
      <c r="B49" s="12">
        <v>230.57</v>
      </c>
      <c r="C49" s="12">
        <v>163.66999999999999</v>
      </c>
      <c r="D49" s="13">
        <v>424.73</v>
      </c>
      <c r="E49" s="15">
        <f t="shared" si="4"/>
        <v>-8.2336626798404291E-4</v>
      </c>
      <c r="F49" s="15">
        <f t="shared" si="2"/>
        <v>-1.3203906909441855E-2</v>
      </c>
      <c r="G49" s="15">
        <f t="shared" si="3"/>
        <v>3.061705134243887E-4</v>
      </c>
    </row>
    <row r="50" spans="1:7" x14ac:dyDescent="0.25">
      <c r="A50" s="11">
        <v>45590</v>
      </c>
      <c r="B50" s="12">
        <v>231.41</v>
      </c>
      <c r="C50" s="12">
        <v>160.88</v>
      </c>
      <c r="D50" s="13">
        <v>428.15</v>
      </c>
      <c r="E50" s="15">
        <f t="shared" si="4"/>
        <v>3.6431452487314196E-3</v>
      </c>
      <c r="F50" s="15">
        <f t="shared" si="2"/>
        <v>-1.7046495998044798E-2</v>
      </c>
      <c r="G50" s="15">
        <f t="shared" si="3"/>
        <v>8.0521743225106749E-3</v>
      </c>
    </row>
    <row r="51" spans="1:7" x14ac:dyDescent="0.25">
      <c r="A51" s="11">
        <v>45593</v>
      </c>
      <c r="B51" s="12">
        <v>233.4</v>
      </c>
      <c r="C51" s="12">
        <v>161.6</v>
      </c>
      <c r="D51" s="13">
        <v>426.59</v>
      </c>
      <c r="E51" s="15">
        <f t="shared" si="4"/>
        <v>8.599455511862102E-3</v>
      </c>
      <c r="F51" s="15">
        <f t="shared" si="2"/>
        <v>4.4753853804077506E-3</v>
      </c>
      <c r="G51" s="15">
        <f t="shared" si="3"/>
        <v>-3.6435828564755396E-3</v>
      </c>
    </row>
    <row r="52" spans="1:7" x14ac:dyDescent="0.25">
      <c r="A52" s="11">
        <v>45594</v>
      </c>
      <c r="B52" s="12">
        <v>233.67</v>
      </c>
      <c r="C52" s="12">
        <v>160.09</v>
      </c>
      <c r="D52" s="13">
        <v>431.95</v>
      </c>
      <c r="E52" s="15">
        <f t="shared" si="4"/>
        <v>1.1568123393315415E-3</v>
      </c>
      <c r="F52" s="15">
        <f t="shared" si="2"/>
        <v>-9.3440594059405382E-3</v>
      </c>
      <c r="G52" s="15">
        <f t="shared" si="3"/>
        <v>1.2564757729904626E-2</v>
      </c>
    </row>
    <row r="53" spans="1:7" x14ac:dyDescent="0.25">
      <c r="A53" s="11">
        <v>45595</v>
      </c>
      <c r="B53" s="12">
        <v>230.1</v>
      </c>
      <c r="C53" s="12">
        <v>160.61000000000001</v>
      </c>
      <c r="D53" s="13">
        <v>432.53</v>
      </c>
      <c r="E53" s="15">
        <f t="shared" si="4"/>
        <v>-1.5277956091924481E-2</v>
      </c>
      <c r="F53" s="15">
        <f t="shared" si="2"/>
        <v>3.2481729027422713E-3</v>
      </c>
      <c r="G53" s="15">
        <f t="shared" si="3"/>
        <v>1.342748003241079E-3</v>
      </c>
    </row>
    <row r="54" spans="1:7" x14ac:dyDescent="0.25">
      <c r="A54" s="11">
        <v>45596</v>
      </c>
      <c r="B54" s="12">
        <v>225.91</v>
      </c>
      <c r="C54" s="12">
        <v>159.86000000000001</v>
      </c>
      <c r="D54" s="13">
        <v>406.35</v>
      </c>
      <c r="E54" s="15">
        <f t="shared" si="4"/>
        <v>-1.8209474141677524E-2</v>
      </c>
      <c r="F54" s="15">
        <f t="shared" si="2"/>
        <v>-4.6696967810223519E-3</v>
      </c>
      <c r="G54" s="15">
        <f t="shared" si="3"/>
        <v>-6.0527593461725086E-2</v>
      </c>
    </row>
    <row r="55" spans="1:7" x14ac:dyDescent="0.25">
      <c r="A55" s="11">
        <v>45597</v>
      </c>
      <c r="B55" s="12">
        <v>222.91</v>
      </c>
      <c r="C55" s="12">
        <v>160.13</v>
      </c>
      <c r="D55" s="13">
        <v>410.37</v>
      </c>
      <c r="E55" s="15">
        <f t="shared" si="4"/>
        <v>-1.3279624629277146E-2</v>
      </c>
      <c r="F55" s="15">
        <f t="shared" si="2"/>
        <v>1.6889778556235567E-3</v>
      </c>
      <c r="G55" s="15">
        <f t="shared" si="3"/>
        <v>9.8929494278331039E-3</v>
      </c>
    </row>
    <row r="56" spans="1:7" x14ac:dyDescent="0.25">
      <c r="A56" s="11">
        <v>45600</v>
      </c>
      <c r="B56" s="12">
        <v>222.01</v>
      </c>
      <c r="C56" s="12">
        <v>158.24</v>
      </c>
      <c r="D56" s="13">
        <v>408.46</v>
      </c>
      <c r="E56" s="15">
        <f t="shared" si="4"/>
        <v>-4.0375039253510644E-3</v>
      </c>
      <c r="F56" s="15">
        <f t="shared" si="2"/>
        <v>-1.1802910135514809E-2</v>
      </c>
      <c r="G56" s="15">
        <f t="shared" si="3"/>
        <v>-4.6543363306285179E-3</v>
      </c>
    </row>
    <row r="57" spans="1:7" x14ac:dyDescent="0.25">
      <c r="A57" s="11">
        <v>45601</v>
      </c>
      <c r="B57" s="12">
        <v>223.45</v>
      </c>
      <c r="C57" s="12">
        <v>158.35</v>
      </c>
      <c r="D57" s="13">
        <v>411.46</v>
      </c>
      <c r="E57" s="15">
        <f t="shared" si="4"/>
        <v>6.4861943155713605E-3</v>
      </c>
      <c r="F57" s="15">
        <f t="shared" si="2"/>
        <v>6.9514661274004816E-4</v>
      </c>
      <c r="G57" s="15">
        <f t="shared" si="3"/>
        <v>7.3446604318660336E-3</v>
      </c>
    </row>
    <row r="58" spans="1:7" x14ac:dyDescent="0.25">
      <c r="A58" s="11">
        <v>45602</v>
      </c>
      <c r="B58" s="12">
        <v>222.72</v>
      </c>
      <c r="C58" s="12">
        <v>157.88</v>
      </c>
      <c r="D58" s="13">
        <v>420.18</v>
      </c>
      <c r="E58" s="15">
        <f t="shared" si="4"/>
        <v>-3.2669501006936221E-3</v>
      </c>
      <c r="F58" s="15">
        <f t="shared" si="2"/>
        <v>-2.9681086201452408E-3</v>
      </c>
      <c r="G58" s="15">
        <f t="shared" si="3"/>
        <v>2.119282554804848E-2</v>
      </c>
    </row>
    <row r="59" spans="1:7" x14ac:dyDescent="0.25">
      <c r="A59" s="11">
        <v>45603</v>
      </c>
      <c r="B59" s="12">
        <v>227.48</v>
      </c>
      <c r="C59" s="12">
        <v>156.72999999999999</v>
      </c>
      <c r="D59" s="13">
        <v>425.43</v>
      </c>
      <c r="E59" s="15">
        <f t="shared" si="4"/>
        <v>2.1372126436781567E-2</v>
      </c>
      <c r="F59" s="15">
        <f t="shared" si="2"/>
        <v>-7.2840131745629958E-3</v>
      </c>
      <c r="G59" s="15">
        <f t="shared" si="3"/>
        <v>1.2494645152077681E-2</v>
      </c>
    </row>
    <row r="60" spans="1:7" x14ac:dyDescent="0.25">
      <c r="A60" s="11">
        <v>45604</v>
      </c>
      <c r="B60" s="12">
        <v>226.96</v>
      </c>
      <c r="C60" s="12">
        <v>155.47</v>
      </c>
      <c r="D60" s="13">
        <v>422.54</v>
      </c>
      <c r="E60" s="15">
        <f t="shared" si="4"/>
        <v>-2.2859152452962099E-3</v>
      </c>
      <c r="F60" s="15">
        <f t="shared" si="2"/>
        <v>-8.0393032603840418E-3</v>
      </c>
      <c r="G60" s="15">
        <f t="shared" si="3"/>
        <v>-6.7931269539054278E-3</v>
      </c>
    </row>
    <row r="61" spans="1:7" x14ac:dyDescent="0.25">
      <c r="A61" s="11">
        <v>45607</v>
      </c>
      <c r="B61" s="12">
        <v>224.23</v>
      </c>
      <c r="C61" s="12">
        <v>155.04</v>
      </c>
      <c r="D61" s="13">
        <v>418.01</v>
      </c>
      <c r="E61" s="15">
        <f t="shared" si="4"/>
        <v>-1.2028551286570401E-2</v>
      </c>
      <c r="F61" s="15">
        <f t="shared" si="2"/>
        <v>-2.7658069080852051E-3</v>
      </c>
      <c r="G61" s="15">
        <f t="shared" si="3"/>
        <v>-1.072087849671044E-2</v>
      </c>
    </row>
    <row r="62" spans="1:7" x14ac:dyDescent="0.25">
      <c r="A62" s="11">
        <v>45608</v>
      </c>
      <c r="B62" s="12">
        <v>224.23</v>
      </c>
      <c r="C62" s="12">
        <v>152.63999999999999</v>
      </c>
      <c r="D62" s="13">
        <v>423.03</v>
      </c>
      <c r="E62" s="15">
        <f t="shared" si="4"/>
        <v>0</v>
      </c>
      <c r="F62" s="15">
        <f t="shared" si="2"/>
        <v>-1.547987616099075E-2</v>
      </c>
      <c r="G62" s="15">
        <f t="shared" si="3"/>
        <v>1.2009282074591473E-2</v>
      </c>
    </row>
    <row r="63" spans="1:7" x14ac:dyDescent="0.25">
      <c r="A63" s="11">
        <v>45609</v>
      </c>
      <c r="B63" s="12">
        <v>225.12</v>
      </c>
      <c r="C63" s="12">
        <v>153.24</v>
      </c>
      <c r="D63" s="13">
        <v>425.2</v>
      </c>
      <c r="E63" s="15">
        <f t="shared" si="4"/>
        <v>3.9691388306650087E-3</v>
      </c>
      <c r="F63" s="15">
        <f t="shared" si="2"/>
        <v>3.9308176100630423E-3</v>
      </c>
      <c r="G63" s="15">
        <f t="shared" si="3"/>
        <v>5.1296598349999199E-3</v>
      </c>
    </row>
    <row r="64" spans="1:7" x14ac:dyDescent="0.25">
      <c r="A64" s="11">
        <v>45610</v>
      </c>
      <c r="B64" s="12">
        <v>228.22</v>
      </c>
      <c r="C64" s="12">
        <v>151.87</v>
      </c>
      <c r="D64" s="13">
        <v>426.89</v>
      </c>
      <c r="E64" s="15">
        <f t="shared" si="4"/>
        <v>1.3770433546552925E-2</v>
      </c>
      <c r="F64" s="15">
        <f t="shared" si="2"/>
        <v>-8.9402244844688367E-3</v>
      </c>
      <c r="G64" s="15">
        <f t="shared" si="3"/>
        <v>3.9746001881467491E-3</v>
      </c>
    </row>
    <row r="65" spans="1:7" x14ac:dyDescent="0.25">
      <c r="A65" s="11">
        <v>45611</v>
      </c>
      <c r="B65" s="12">
        <v>225</v>
      </c>
      <c r="C65" s="12">
        <v>154</v>
      </c>
      <c r="D65" s="13">
        <v>415</v>
      </c>
      <c r="E65" s="15">
        <f t="shared" si="4"/>
        <v>-1.4109192884059237E-2</v>
      </c>
      <c r="F65" s="15">
        <f t="shared" si="2"/>
        <v>1.4025153091459771E-2</v>
      </c>
      <c r="G65" s="15">
        <f t="shared" si="3"/>
        <v>-2.7852608400290441E-2</v>
      </c>
    </row>
    <row r="66" spans="1:7" x14ac:dyDescent="0.25">
      <c r="A66" s="11">
        <v>45614</v>
      </c>
      <c r="B66" s="12">
        <v>228.02</v>
      </c>
      <c r="C66" s="12">
        <v>154.77000000000001</v>
      </c>
      <c r="D66" s="13">
        <v>415.76</v>
      </c>
      <c r="E66" s="15">
        <f t="shared" si="4"/>
        <v>1.3422222222222268E-2</v>
      </c>
      <c r="F66" s="15">
        <f t="shared" si="2"/>
        <v>5.000000000000066E-3</v>
      </c>
      <c r="G66" s="15">
        <f t="shared" si="3"/>
        <v>1.8313253012047974E-3</v>
      </c>
    </row>
    <row r="67" spans="1:7" x14ac:dyDescent="0.25">
      <c r="A67" s="11">
        <v>45615</v>
      </c>
      <c r="B67" s="12">
        <v>228.28</v>
      </c>
      <c r="C67" s="12">
        <v>153</v>
      </c>
      <c r="D67" s="13">
        <v>417.79</v>
      </c>
      <c r="E67" s="15">
        <f t="shared" si="4"/>
        <v>1.1402508551881015E-3</v>
      </c>
      <c r="F67" s="15">
        <f t="shared" si="2"/>
        <v>-1.1436324869160755E-2</v>
      </c>
      <c r="G67" s="15">
        <f t="shared" si="3"/>
        <v>4.8826245911103268E-3</v>
      </c>
    </row>
    <row r="68" spans="1:7" x14ac:dyDescent="0.25">
      <c r="A68" s="11">
        <v>45616</v>
      </c>
      <c r="B68" s="12">
        <v>229</v>
      </c>
      <c r="C68" s="12">
        <v>153.11000000000001</v>
      </c>
      <c r="D68" s="13">
        <v>415.49</v>
      </c>
      <c r="E68" s="15">
        <f t="shared" si="4"/>
        <v>3.1540213772559963E-3</v>
      </c>
      <c r="F68" s="15">
        <f t="shared" si="2"/>
        <v>7.1895424836610226E-4</v>
      </c>
      <c r="G68" s="15">
        <f t="shared" si="3"/>
        <v>-5.5051580937791984E-3</v>
      </c>
    </row>
    <row r="69" spans="1:7" x14ac:dyDescent="0.25">
      <c r="A69" s="11">
        <v>45617</v>
      </c>
      <c r="B69" s="12">
        <v>228.52</v>
      </c>
      <c r="C69" s="12">
        <v>155.5</v>
      </c>
      <c r="D69" s="13">
        <v>412.87</v>
      </c>
      <c r="E69" s="15">
        <f t="shared" ref="E69:E128" si="5">(B69-B68)/B68</f>
        <v>-2.0960698689955885E-3</v>
      </c>
      <c r="F69" s="15">
        <f t="shared" ref="F69:F128" si="6">(C69-C68)/C68</f>
        <v>1.5609692378028778E-2</v>
      </c>
      <c r="G69" s="15">
        <f t="shared" ref="G69:G128" si="7">(D69-D68)/D68</f>
        <v>-6.3058076006642866E-3</v>
      </c>
    </row>
    <row r="70" spans="1:7" x14ac:dyDescent="0.25">
      <c r="A70" s="11">
        <v>45618</v>
      </c>
      <c r="B70" s="12">
        <v>229.87</v>
      </c>
      <c r="C70" s="12">
        <v>155.16999999999999</v>
      </c>
      <c r="D70" s="13">
        <v>417</v>
      </c>
      <c r="E70" s="15">
        <f t="shared" si="5"/>
        <v>5.907579205321172E-3</v>
      </c>
      <c r="F70" s="15">
        <f t="shared" si="6"/>
        <v>-2.1221864951769293E-3</v>
      </c>
      <c r="G70" s="15">
        <f t="shared" si="7"/>
        <v>1.0003148690871207E-2</v>
      </c>
    </row>
    <row r="71" spans="1:7" x14ac:dyDescent="0.25">
      <c r="A71" s="11">
        <v>45621</v>
      </c>
      <c r="B71" s="12">
        <v>232.87</v>
      </c>
      <c r="C71" s="12">
        <v>155.78</v>
      </c>
      <c r="D71" s="13">
        <v>418.79</v>
      </c>
      <c r="E71" s="15">
        <f t="shared" si="5"/>
        <v>1.3050854830991429E-2</v>
      </c>
      <c r="F71" s="15">
        <f t="shared" si="6"/>
        <v>3.9311722626797297E-3</v>
      </c>
      <c r="G71" s="15">
        <f t="shared" si="7"/>
        <v>4.292565947242255E-3</v>
      </c>
    </row>
    <row r="72" spans="1:7" x14ac:dyDescent="0.25">
      <c r="A72" s="11">
        <v>45622</v>
      </c>
      <c r="B72" s="12">
        <v>235.06</v>
      </c>
      <c r="C72" s="12">
        <v>154.52000000000001</v>
      </c>
      <c r="D72" s="13">
        <v>427.99</v>
      </c>
      <c r="E72" s="15">
        <f t="shared" si="5"/>
        <v>9.4043887147335324E-3</v>
      </c>
      <c r="F72" s="15">
        <f t="shared" si="6"/>
        <v>-8.088329695724681E-3</v>
      </c>
      <c r="G72" s="15">
        <f t="shared" si="7"/>
        <v>2.1968050813056635E-2</v>
      </c>
    </row>
    <row r="73" spans="1:7" x14ac:dyDescent="0.25">
      <c r="A73" s="11">
        <v>45623</v>
      </c>
      <c r="B73" s="12">
        <v>234.93</v>
      </c>
      <c r="C73" s="12">
        <v>155.4</v>
      </c>
      <c r="D73" s="13">
        <v>422.99</v>
      </c>
      <c r="E73" s="15">
        <f t="shared" si="5"/>
        <v>-5.530502850335891E-4</v>
      </c>
      <c r="F73" s="15">
        <f t="shared" si="6"/>
        <v>5.6950556562257015E-3</v>
      </c>
      <c r="G73" s="15">
        <f t="shared" si="7"/>
        <v>-1.1682515946634267E-2</v>
      </c>
    </row>
    <row r="74" spans="1:7" x14ac:dyDescent="0.25">
      <c r="A74" s="11">
        <v>45625</v>
      </c>
      <c r="B74" s="12">
        <v>237.33</v>
      </c>
      <c r="C74" s="12">
        <v>155.01</v>
      </c>
      <c r="D74" s="13">
        <v>423.46</v>
      </c>
      <c r="E74" s="15">
        <f t="shared" si="5"/>
        <v>1.0215808964372391E-2</v>
      </c>
      <c r="F74" s="15">
        <f t="shared" si="6"/>
        <v>-2.5096525096526046E-3</v>
      </c>
      <c r="G74" s="15">
        <f t="shared" si="7"/>
        <v>1.1111373791341886E-3</v>
      </c>
    </row>
    <row r="75" spans="1:7" x14ac:dyDescent="0.25">
      <c r="A75" s="11">
        <v>45628</v>
      </c>
      <c r="B75" s="12">
        <v>239.59</v>
      </c>
      <c r="C75" s="12">
        <v>154.80000000000001</v>
      </c>
      <c r="D75" s="13">
        <v>430.98</v>
      </c>
      <c r="E75" s="15">
        <f t="shared" si="5"/>
        <v>9.5226056545737615E-3</v>
      </c>
      <c r="F75" s="15">
        <f t="shared" si="6"/>
        <v>-1.3547513063671991E-3</v>
      </c>
      <c r="G75" s="15">
        <f t="shared" si="7"/>
        <v>1.7758465970811974E-2</v>
      </c>
    </row>
    <row r="76" spans="1:7" x14ac:dyDescent="0.25">
      <c r="A76" s="11">
        <v>45629</v>
      </c>
      <c r="B76" s="12">
        <v>242.65</v>
      </c>
      <c r="C76" s="12">
        <v>152.36000000000001</v>
      </c>
      <c r="D76" s="13">
        <v>431.2</v>
      </c>
      <c r="E76" s="15">
        <f t="shared" si="5"/>
        <v>1.2771818523310665E-2</v>
      </c>
      <c r="F76" s="15">
        <f t="shared" si="6"/>
        <v>-1.576227390180877E-2</v>
      </c>
      <c r="G76" s="15">
        <f t="shared" si="7"/>
        <v>5.1046452271560265E-4</v>
      </c>
    </row>
    <row r="77" spans="1:7" x14ac:dyDescent="0.25">
      <c r="A77" s="11">
        <v>45630</v>
      </c>
      <c r="B77" s="12">
        <v>243.01</v>
      </c>
      <c r="C77" s="12">
        <v>150.47</v>
      </c>
      <c r="D77" s="13">
        <v>437.42</v>
      </c>
      <c r="E77" s="15">
        <f t="shared" si="5"/>
        <v>1.4836183803832071E-3</v>
      </c>
      <c r="F77" s="15">
        <f t="shared" si="6"/>
        <v>-1.2404830664216425E-2</v>
      </c>
      <c r="G77" s="15">
        <f t="shared" si="7"/>
        <v>1.4424860853432345E-2</v>
      </c>
    </row>
    <row r="78" spans="1:7" x14ac:dyDescent="0.25">
      <c r="A78" s="11">
        <v>45631</v>
      </c>
      <c r="B78" s="12">
        <v>243.04</v>
      </c>
      <c r="C78" s="12">
        <v>149.52000000000001</v>
      </c>
      <c r="D78" s="13">
        <v>442.62</v>
      </c>
      <c r="E78" s="15">
        <f t="shared" si="5"/>
        <v>1.2345170980618549E-4</v>
      </c>
      <c r="F78" s="15">
        <f t="shared" si="6"/>
        <v>-6.3135508739282824E-3</v>
      </c>
      <c r="G78" s="15">
        <f t="shared" si="7"/>
        <v>1.1887888070961521E-2</v>
      </c>
    </row>
    <row r="79" spans="1:7" x14ac:dyDescent="0.25">
      <c r="A79" s="11">
        <v>45632</v>
      </c>
      <c r="B79" s="12">
        <v>242.84</v>
      </c>
      <c r="C79" s="12">
        <v>149.31</v>
      </c>
      <c r="D79" s="13">
        <v>443.57</v>
      </c>
      <c r="E79" s="15">
        <f t="shared" si="5"/>
        <v>-8.2290980908487758E-4</v>
      </c>
      <c r="F79" s="15">
        <f t="shared" si="6"/>
        <v>-1.404494382022525E-3</v>
      </c>
      <c r="G79" s="15">
        <f t="shared" si="7"/>
        <v>2.1463106050336376E-3</v>
      </c>
    </row>
    <row r="80" spans="1:7" x14ac:dyDescent="0.25">
      <c r="A80" s="11">
        <v>45635</v>
      </c>
      <c r="B80" s="12">
        <v>246.75</v>
      </c>
      <c r="C80" s="12">
        <v>149.6</v>
      </c>
      <c r="D80" s="13">
        <v>446.02</v>
      </c>
      <c r="E80" s="15">
        <f t="shared" si="5"/>
        <v>1.6101136550815336E-2</v>
      </c>
      <c r="F80" s="15">
        <f t="shared" si="6"/>
        <v>1.9422677650525219E-3</v>
      </c>
      <c r="G80" s="15">
        <f t="shared" si="7"/>
        <v>5.5233672250151918E-3</v>
      </c>
    </row>
    <row r="81" spans="1:7" x14ac:dyDescent="0.25">
      <c r="A81" s="11">
        <v>45636</v>
      </c>
      <c r="B81" s="12">
        <v>247.77</v>
      </c>
      <c r="C81" s="12">
        <v>149.22999999999999</v>
      </c>
      <c r="D81" s="13">
        <v>443.33</v>
      </c>
      <c r="E81" s="15">
        <f t="shared" si="5"/>
        <v>4.1337386018237493E-3</v>
      </c>
      <c r="F81" s="15">
        <f t="shared" si="6"/>
        <v>-2.4732620320855919E-3</v>
      </c>
      <c r="G81" s="15">
        <f t="shared" si="7"/>
        <v>-6.0311196807318005E-3</v>
      </c>
    </row>
    <row r="82" spans="1:7" x14ac:dyDescent="0.25">
      <c r="A82" s="11">
        <v>45637</v>
      </c>
      <c r="B82" s="12">
        <v>246.49</v>
      </c>
      <c r="C82" s="12">
        <v>146.63999999999999</v>
      </c>
      <c r="D82" s="13">
        <v>448.99</v>
      </c>
      <c r="E82" s="15">
        <f t="shared" si="5"/>
        <v>-5.166081446502809E-3</v>
      </c>
      <c r="F82" s="15">
        <f t="shared" si="6"/>
        <v>-1.7355759565770981E-2</v>
      </c>
      <c r="G82" s="15">
        <f t="shared" si="7"/>
        <v>1.2767013285814236E-2</v>
      </c>
    </row>
    <row r="83" spans="1:7" x14ac:dyDescent="0.25">
      <c r="A83" s="11">
        <v>45638</v>
      </c>
      <c r="B83" s="12">
        <v>247.96</v>
      </c>
      <c r="C83" s="12">
        <v>146.24</v>
      </c>
      <c r="D83" s="13">
        <v>449.56</v>
      </c>
      <c r="E83" s="15">
        <f t="shared" si="5"/>
        <v>5.9637307801533486E-3</v>
      </c>
      <c r="F83" s="15">
        <f t="shared" si="6"/>
        <v>-2.7277686852153391E-3</v>
      </c>
      <c r="G83" s="15">
        <f t="shared" si="7"/>
        <v>1.2695160248557722E-3</v>
      </c>
    </row>
    <row r="84" spans="1:7" x14ac:dyDescent="0.25">
      <c r="A84" s="11">
        <v>45639</v>
      </c>
      <c r="B84" s="12">
        <v>248.13</v>
      </c>
      <c r="C84" s="12">
        <v>146.62</v>
      </c>
      <c r="D84" s="13">
        <v>447.27</v>
      </c>
      <c r="E84" s="15">
        <f t="shared" si="5"/>
        <v>6.8559445071780724E-4</v>
      </c>
      <c r="F84" s="15">
        <f t="shared" si="6"/>
        <v>2.5984682713347607E-3</v>
      </c>
      <c r="G84" s="15">
        <f t="shared" si="7"/>
        <v>-5.0938695613489196E-3</v>
      </c>
    </row>
    <row r="85" spans="1:7" x14ac:dyDescent="0.25">
      <c r="A85" s="11">
        <v>45642</v>
      </c>
      <c r="B85" s="12">
        <v>251.04</v>
      </c>
      <c r="C85" s="12">
        <v>143.85</v>
      </c>
      <c r="D85" s="13">
        <v>451.59</v>
      </c>
      <c r="E85" s="15">
        <f t="shared" si="5"/>
        <v>1.1727723370813672E-2</v>
      </c>
      <c r="F85" s="15">
        <f t="shared" si="6"/>
        <v>-1.8892374846542152E-2</v>
      </c>
      <c r="G85" s="15">
        <f t="shared" si="7"/>
        <v>9.6585954792407121E-3</v>
      </c>
    </row>
    <row r="86" spans="1:7" x14ac:dyDescent="0.25">
      <c r="A86" s="11">
        <v>45643</v>
      </c>
      <c r="B86" s="12">
        <v>253.48</v>
      </c>
      <c r="C86" s="12">
        <v>146.41</v>
      </c>
      <c r="D86" s="13">
        <v>454.46</v>
      </c>
      <c r="E86" s="15">
        <f t="shared" si="5"/>
        <v>9.7195666029317954E-3</v>
      </c>
      <c r="F86" s="15">
        <f t="shared" si="6"/>
        <v>1.77963156065346E-2</v>
      </c>
      <c r="G86" s="15">
        <f t="shared" si="7"/>
        <v>6.3553223056312244E-3</v>
      </c>
    </row>
    <row r="87" spans="1:7" x14ac:dyDescent="0.25">
      <c r="A87" s="11">
        <v>45644</v>
      </c>
      <c r="B87" s="12">
        <v>248.05</v>
      </c>
      <c r="C87" s="12">
        <v>144.75</v>
      </c>
      <c r="D87" s="13">
        <v>437.39</v>
      </c>
      <c r="E87" s="15">
        <f t="shared" si="5"/>
        <v>-2.1421808426700249E-2</v>
      </c>
      <c r="F87" s="15">
        <f t="shared" si="6"/>
        <v>-1.1338023359060151E-2</v>
      </c>
      <c r="G87" s="15">
        <f t="shared" si="7"/>
        <v>-3.7561061479558143E-2</v>
      </c>
    </row>
    <row r="88" spans="1:7" x14ac:dyDescent="0.25">
      <c r="A88" s="11">
        <v>45645</v>
      </c>
      <c r="B88" s="12">
        <v>249.79</v>
      </c>
      <c r="C88" s="12">
        <v>143.58000000000001</v>
      </c>
      <c r="D88" s="13">
        <v>437.03</v>
      </c>
      <c r="E88" s="15">
        <f t="shared" si="5"/>
        <v>7.0147147752468476E-3</v>
      </c>
      <c r="F88" s="15">
        <f t="shared" si="6"/>
        <v>-8.0829015544040591E-3</v>
      </c>
      <c r="G88" s="15">
        <f t="shared" si="7"/>
        <v>-8.2306408468418033E-4</v>
      </c>
    </row>
    <row r="89" spans="1:7" x14ac:dyDescent="0.25">
      <c r="A89" s="11">
        <v>45646</v>
      </c>
      <c r="B89" s="12">
        <v>254.49</v>
      </c>
      <c r="C89" s="12">
        <v>144.47</v>
      </c>
      <c r="D89" s="13">
        <v>436.6</v>
      </c>
      <c r="E89" s="15">
        <f t="shared" si="5"/>
        <v>1.8815805276432271E-2</v>
      </c>
      <c r="F89" s="15">
        <f t="shared" si="6"/>
        <v>6.1986349073686184E-3</v>
      </c>
      <c r="G89" s="15">
        <f t="shared" si="7"/>
        <v>-9.8391414777006161E-4</v>
      </c>
    </row>
    <row r="90" spans="1:7" x14ac:dyDescent="0.25">
      <c r="A90" s="11">
        <v>45649</v>
      </c>
      <c r="B90" s="12">
        <v>255.27</v>
      </c>
      <c r="C90" s="12">
        <v>145.27000000000001</v>
      </c>
      <c r="D90" s="13">
        <v>435.25</v>
      </c>
      <c r="E90" s="15">
        <f t="shared" si="5"/>
        <v>3.0649534362843377E-3</v>
      </c>
      <c r="F90" s="15">
        <f t="shared" si="6"/>
        <v>5.5374818301378234E-3</v>
      </c>
      <c r="G90" s="15">
        <f t="shared" si="7"/>
        <v>-3.0920751259734831E-3</v>
      </c>
    </row>
    <row r="91" spans="1:7" x14ac:dyDescent="0.25">
      <c r="A91" s="11">
        <v>45650</v>
      </c>
      <c r="B91" s="12">
        <v>258.2</v>
      </c>
      <c r="C91" s="12">
        <v>145.85</v>
      </c>
      <c r="D91" s="13">
        <v>439.33</v>
      </c>
      <c r="E91" s="15">
        <f t="shared" si="5"/>
        <v>1.147804285658314E-2</v>
      </c>
      <c r="F91" s="15">
        <f t="shared" si="6"/>
        <v>3.9925655675637365E-3</v>
      </c>
      <c r="G91" s="15">
        <f t="shared" si="7"/>
        <v>9.3739230327397685E-3</v>
      </c>
    </row>
    <row r="92" spans="1:7" x14ac:dyDescent="0.25">
      <c r="A92" s="11">
        <v>45652</v>
      </c>
      <c r="B92" s="12">
        <v>259.02</v>
      </c>
      <c r="C92" s="12">
        <v>145.58000000000001</v>
      </c>
      <c r="D92" s="13">
        <v>438.11</v>
      </c>
      <c r="E92" s="15">
        <f t="shared" si="5"/>
        <v>3.1758326878388583E-3</v>
      </c>
      <c r="F92" s="15">
        <f t="shared" si="6"/>
        <v>-1.851217003770873E-3</v>
      </c>
      <c r="G92" s="15">
        <f t="shared" si="7"/>
        <v>-2.7769558190880897E-3</v>
      </c>
    </row>
    <row r="93" spans="1:7" x14ac:dyDescent="0.25">
      <c r="A93" s="11">
        <v>45653</v>
      </c>
      <c r="B93" s="12">
        <v>255.59</v>
      </c>
      <c r="C93" s="12">
        <v>145.05000000000001</v>
      </c>
      <c r="D93" s="13">
        <v>430.53</v>
      </c>
      <c r="E93" s="15">
        <f t="shared" si="5"/>
        <v>-1.3242220677939846E-2</v>
      </c>
      <c r="F93" s="15">
        <f t="shared" si="6"/>
        <v>-3.6406099738975207E-3</v>
      </c>
      <c r="G93" s="15">
        <f t="shared" si="7"/>
        <v>-1.730159092465372E-2</v>
      </c>
    </row>
    <row r="94" spans="1:7" x14ac:dyDescent="0.25">
      <c r="A94" s="11">
        <v>45656</v>
      </c>
      <c r="B94" s="12">
        <v>252.2</v>
      </c>
      <c r="C94" s="12">
        <v>143.34</v>
      </c>
      <c r="D94" s="13">
        <v>424.83</v>
      </c>
      <c r="E94" s="15">
        <f t="shared" si="5"/>
        <v>-1.3263429711647618E-2</v>
      </c>
      <c r="F94" s="15">
        <f t="shared" si="6"/>
        <v>-1.1789038262668099E-2</v>
      </c>
      <c r="G94" s="15">
        <f t="shared" si="7"/>
        <v>-1.3239495505539657E-2</v>
      </c>
    </row>
    <row r="95" spans="1:7" x14ac:dyDescent="0.25">
      <c r="A95" s="11">
        <v>45657</v>
      </c>
      <c r="B95" s="12">
        <v>250.42</v>
      </c>
      <c r="C95" s="12">
        <v>144.62</v>
      </c>
      <c r="D95" s="13">
        <v>421.5</v>
      </c>
      <c r="E95" s="15">
        <f t="shared" si="5"/>
        <v>-7.0578905630452066E-3</v>
      </c>
      <c r="F95" s="15">
        <f t="shared" si="6"/>
        <v>8.9298172178038301E-3</v>
      </c>
      <c r="G95" s="15">
        <f t="shared" si="7"/>
        <v>-7.838429489442798E-3</v>
      </c>
    </row>
    <row r="96" spans="1:7" x14ac:dyDescent="0.25">
      <c r="A96" s="11">
        <v>45659</v>
      </c>
      <c r="B96" s="12">
        <v>243.85</v>
      </c>
      <c r="C96" s="12">
        <v>144.02000000000001</v>
      </c>
      <c r="D96" s="13">
        <v>418.58</v>
      </c>
      <c r="E96" s="15">
        <f t="shared" si="5"/>
        <v>-2.6235923648270879E-2</v>
      </c>
      <c r="F96" s="15">
        <f t="shared" si="6"/>
        <v>-4.1488037615820374E-3</v>
      </c>
      <c r="G96" s="15">
        <f t="shared" si="7"/>
        <v>-6.9276393831554355E-3</v>
      </c>
    </row>
    <row r="97" spans="1:7" x14ac:dyDescent="0.25">
      <c r="A97" s="11">
        <v>45660</v>
      </c>
      <c r="B97" s="12">
        <v>243.36</v>
      </c>
      <c r="C97" s="12">
        <v>144.19</v>
      </c>
      <c r="D97" s="13">
        <v>423.35</v>
      </c>
      <c r="E97" s="15">
        <f t="shared" si="5"/>
        <v>-2.0094320278859165E-3</v>
      </c>
      <c r="F97" s="15">
        <f t="shared" si="6"/>
        <v>1.1803916122759858E-3</v>
      </c>
      <c r="G97" s="15">
        <f t="shared" si="7"/>
        <v>1.1395671078408044E-2</v>
      </c>
    </row>
    <row r="98" spans="1:7" x14ac:dyDescent="0.25">
      <c r="A98" s="11">
        <v>45663</v>
      </c>
      <c r="B98" s="12">
        <v>245</v>
      </c>
      <c r="C98" s="12">
        <v>143.66</v>
      </c>
      <c r="D98" s="13">
        <v>427.85</v>
      </c>
      <c r="E98" s="15">
        <f t="shared" si="5"/>
        <v>6.7389875082182211E-3</v>
      </c>
      <c r="F98" s="15">
        <f t="shared" si="6"/>
        <v>-3.6757056661349688E-3</v>
      </c>
      <c r="G98" s="15">
        <f t="shared" si="7"/>
        <v>1.0629502775481279E-2</v>
      </c>
    </row>
    <row r="99" spans="1:7" x14ac:dyDescent="0.25">
      <c r="A99" s="11">
        <v>45664</v>
      </c>
      <c r="B99" s="12">
        <v>242.21</v>
      </c>
      <c r="C99" s="12">
        <v>146.22999999999999</v>
      </c>
      <c r="D99" s="13">
        <v>422.37</v>
      </c>
      <c r="E99" s="15">
        <f t="shared" si="5"/>
        <v>-1.1387755102040783E-2</v>
      </c>
      <c r="F99" s="15">
        <f t="shared" si="6"/>
        <v>1.788946122789916E-2</v>
      </c>
      <c r="G99" s="15">
        <f t="shared" si="7"/>
        <v>-1.2808227182423788E-2</v>
      </c>
    </row>
    <row r="100" spans="1:7" x14ac:dyDescent="0.25">
      <c r="A100" s="11">
        <v>45665</v>
      </c>
      <c r="B100" s="12">
        <v>242.7</v>
      </c>
      <c r="C100" s="12">
        <v>142.27000000000001</v>
      </c>
      <c r="D100" s="13">
        <v>424.56</v>
      </c>
      <c r="E100" s="15">
        <f t="shared" si="5"/>
        <v>2.0230378597084374E-3</v>
      </c>
      <c r="F100" s="15">
        <f t="shared" si="6"/>
        <v>-2.7080626410449154E-2</v>
      </c>
      <c r="G100" s="15">
        <f t="shared" si="7"/>
        <v>5.1850273456921598E-3</v>
      </c>
    </row>
    <row r="101" spans="1:7" x14ac:dyDescent="0.25">
      <c r="A101" s="11">
        <v>45667</v>
      </c>
      <c r="B101" s="12">
        <v>236.85</v>
      </c>
      <c r="C101" s="12">
        <v>142.06</v>
      </c>
      <c r="D101" s="13">
        <v>418.95</v>
      </c>
      <c r="E101" s="15">
        <f t="shared" si="5"/>
        <v>-2.4103831891223712E-2</v>
      </c>
      <c r="F101" s="15">
        <f t="shared" si="6"/>
        <v>-1.4760666338652418E-3</v>
      </c>
      <c r="G101" s="15">
        <f t="shared" si="7"/>
        <v>-1.3213680045223322E-2</v>
      </c>
    </row>
    <row r="102" spans="1:7" x14ac:dyDescent="0.25">
      <c r="A102" s="11">
        <v>45670</v>
      </c>
      <c r="B102" s="12">
        <v>234.4</v>
      </c>
      <c r="C102" s="12">
        <v>144.47</v>
      </c>
      <c r="D102" s="13">
        <v>417.19</v>
      </c>
      <c r="E102" s="15">
        <f t="shared" si="5"/>
        <v>-1.0344099641123025E-2</v>
      </c>
      <c r="F102" s="15">
        <f t="shared" si="6"/>
        <v>1.6964662818527359E-2</v>
      </c>
      <c r="G102" s="15">
        <f t="shared" si="7"/>
        <v>-4.2009786370688414E-3</v>
      </c>
    </row>
    <row r="103" spans="1:7" x14ac:dyDescent="0.25">
      <c r="A103" s="11">
        <v>45671</v>
      </c>
      <c r="B103" s="12">
        <v>233.28</v>
      </c>
      <c r="C103" s="12">
        <v>144.75</v>
      </c>
      <c r="D103" s="13">
        <v>415.67</v>
      </c>
      <c r="E103" s="15">
        <f t="shared" si="5"/>
        <v>-4.7781569965870503E-3</v>
      </c>
      <c r="F103" s="15">
        <f t="shared" si="6"/>
        <v>1.9381186405482186E-3</v>
      </c>
      <c r="G103" s="15">
        <f t="shared" si="7"/>
        <v>-3.6434238596322584E-3</v>
      </c>
    </row>
    <row r="104" spans="1:7" x14ac:dyDescent="0.25">
      <c r="A104" s="11">
        <v>45672</v>
      </c>
      <c r="B104" s="12">
        <v>237.87</v>
      </c>
      <c r="C104" s="12">
        <v>144.97</v>
      </c>
      <c r="D104" s="13">
        <v>426.31</v>
      </c>
      <c r="E104" s="15">
        <f t="shared" si="5"/>
        <v>1.967592592592594E-2</v>
      </c>
      <c r="F104" s="15">
        <f t="shared" si="6"/>
        <v>1.5198618307426519E-3</v>
      </c>
      <c r="G104" s="15">
        <f t="shared" si="7"/>
        <v>2.559722857074118E-2</v>
      </c>
    </row>
    <row r="105" spans="1:7" x14ac:dyDescent="0.25">
      <c r="A105" s="11">
        <v>45673</v>
      </c>
      <c r="B105" s="12">
        <v>228.26</v>
      </c>
      <c r="C105" s="12">
        <v>147.77000000000001</v>
      </c>
      <c r="D105" s="13">
        <v>424.58</v>
      </c>
      <c r="E105" s="15">
        <f t="shared" si="5"/>
        <v>-4.0400218606802089E-2</v>
      </c>
      <c r="F105" s="15">
        <f t="shared" si="6"/>
        <v>1.9314340898116931E-2</v>
      </c>
      <c r="G105" s="15">
        <f t="shared" si="7"/>
        <v>-4.058079801083761E-3</v>
      </c>
    </row>
    <row r="106" spans="1:7" x14ac:dyDescent="0.25">
      <c r="A106" s="11">
        <v>45674</v>
      </c>
      <c r="B106" s="12">
        <v>229.98</v>
      </c>
      <c r="C106" s="12">
        <v>147.03</v>
      </c>
      <c r="D106" s="13">
        <v>429.03</v>
      </c>
      <c r="E106" s="15">
        <f t="shared" si="5"/>
        <v>7.5352668010163805E-3</v>
      </c>
      <c r="F106" s="15">
        <f t="shared" si="6"/>
        <v>-5.0077823644854103E-3</v>
      </c>
      <c r="G106" s="15">
        <f t="shared" si="7"/>
        <v>1.0480945875924417E-2</v>
      </c>
    </row>
    <row r="107" spans="1:7" x14ac:dyDescent="0.25">
      <c r="A107" s="11">
        <v>45678</v>
      </c>
      <c r="B107" s="12">
        <v>222.64</v>
      </c>
      <c r="C107" s="12">
        <v>148.15</v>
      </c>
      <c r="D107" s="13">
        <v>428.5</v>
      </c>
      <c r="E107" s="15">
        <f t="shared" si="5"/>
        <v>-3.1915818766849305E-2</v>
      </c>
      <c r="F107" s="15">
        <f t="shared" si="6"/>
        <v>7.6174930286336427E-3</v>
      </c>
      <c r="G107" s="15">
        <f t="shared" si="7"/>
        <v>-1.235344847679586E-3</v>
      </c>
    </row>
    <row r="108" spans="1:7" x14ac:dyDescent="0.25">
      <c r="A108" s="11">
        <v>45679</v>
      </c>
      <c r="B108" s="12">
        <v>223.83</v>
      </c>
      <c r="C108" s="12">
        <v>145.27000000000001</v>
      </c>
      <c r="D108" s="13">
        <v>446.2</v>
      </c>
      <c r="E108" s="15">
        <f t="shared" si="5"/>
        <v>5.3449514911966681E-3</v>
      </c>
      <c r="F108" s="15">
        <f t="shared" si="6"/>
        <v>-1.943975700303743E-2</v>
      </c>
      <c r="G108" s="15">
        <f t="shared" si="7"/>
        <v>4.1306884480746764E-2</v>
      </c>
    </row>
    <row r="109" spans="1:7" x14ac:dyDescent="0.25">
      <c r="A109" s="11">
        <v>45680</v>
      </c>
      <c r="B109" s="12">
        <v>223.66</v>
      </c>
      <c r="C109" s="12">
        <v>146.63999999999999</v>
      </c>
      <c r="D109" s="13">
        <v>446.71</v>
      </c>
      <c r="E109" s="15">
        <f t="shared" si="5"/>
        <v>-7.5950498145921418E-4</v>
      </c>
      <c r="F109" s="15">
        <f t="shared" si="6"/>
        <v>9.4307152199351284E-3</v>
      </c>
      <c r="G109" s="15">
        <f t="shared" si="7"/>
        <v>1.1429852084266941E-3</v>
      </c>
    </row>
    <row r="110" spans="1:7" x14ac:dyDescent="0.25">
      <c r="A110" s="11">
        <v>45681</v>
      </c>
      <c r="B110" s="12">
        <v>222.78</v>
      </c>
      <c r="C110" s="12">
        <v>146.82</v>
      </c>
      <c r="D110" s="13">
        <v>444.06</v>
      </c>
      <c r="E110" s="15">
        <f t="shared" si="5"/>
        <v>-3.934543503532127E-3</v>
      </c>
      <c r="F110" s="15">
        <f t="shared" si="6"/>
        <v>1.2274959083470188E-3</v>
      </c>
      <c r="G110" s="15">
        <f t="shared" si="7"/>
        <v>-5.9322603031048719E-3</v>
      </c>
    </row>
    <row r="111" spans="1:7" x14ac:dyDescent="0.25">
      <c r="A111" s="11">
        <v>45684</v>
      </c>
      <c r="B111" s="12">
        <v>229.86</v>
      </c>
      <c r="C111" s="12">
        <v>152.88999999999999</v>
      </c>
      <c r="D111" s="13">
        <v>434.56</v>
      </c>
      <c r="E111" s="15">
        <f t="shared" si="5"/>
        <v>3.1780231618637279E-2</v>
      </c>
      <c r="F111" s="15">
        <f t="shared" si="6"/>
        <v>4.1343141261408485E-2</v>
      </c>
      <c r="G111" s="15">
        <f t="shared" si="7"/>
        <v>-2.1393505382155564E-2</v>
      </c>
    </row>
    <row r="112" spans="1:7" x14ac:dyDescent="0.25">
      <c r="A112" s="11">
        <v>45685</v>
      </c>
      <c r="B112" s="12">
        <v>238.26</v>
      </c>
      <c r="C112" s="12">
        <v>150.38</v>
      </c>
      <c r="D112" s="13">
        <v>447.2</v>
      </c>
      <c r="E112" s="15">
        <f t="shared" si="5"/>
        <v>3.6543983294178961E-2</v>
      </c>
      <c r="F112" s="15">
        <f t="shared" si="6"/>
        <v>-1.6417031852966127E-2</v>
      </c>
      <c r="G112" s="15">
        <f t="shared" si="7"/>
        <v>2.9086892488954314E-2</v>
      </c>
    </row>
    <row r="113" spans="1:7" x14ac:dyDescent="0.25">
      <c r="A113" s="11">
        <v>45686</v>
      </c>
      <c r="B113" s="12">
        <v>239.36</v>
      </c>
      <c r="C113" s="12">
        <v>151.15</v>
      </c>
      <c r="D113" s="13">
        <v>442.33</v>
      </c>
      <c r="E113" s="15">
        <f t="shared" si="5"/>
        <v>4.6168051708218869E-3</v>
      </c>
      <c r="F113" s="15">
        <f t="shared" si="6"/>
        <v>5.120361750232812E-3</v>
      </c>
      <c r="G113" s="15">
        <f t="shared" si="7"/>
        <v>-1.0889982110912353E-2</v>
      </c>
    </row>
    <row r="114" spans="1:7" x14ac:dyDescent="0.25">
      <c r="A114" s="11">
        <v>45687</v>
      </c>
      <c r="B114" s="12">
        <v>237.59</v>
      </c>
      <c r="C114" s="12">
        <v>152.87</v>
      </c>
      <c r="D114" s="13">
        <v>414.99</v>
      </c>
      <c r="E114" s="15">
        <f t="shared" si="5"/>
        <v>-7.394719251336941E-3</v>
      </c>
      <c r="F114" s="15">
        <f t="shared" si="6"/>
        <v>1.1379424412834925E-2</v>
      </c>
      <c r="G114" s="15">
        <f t="shared" si="7"/>
        <v>-6.1809056586711222E-2</v>
      </c>
    </row>
    <row r="115" spans="1:7" x14ac:dyDescent="0.25">
      <c r="A115" s="11">
        <v>45688</v>
      </c>
      <c r="B115" s="12">
        <v>236</v>
      </c>
      <c r="C115" s="12">
        <v>152.15</v>
      </c>
      <c r="D115" s="13">
        <v>415.06</v>
      </c>
      <c r="E115" s="15">
        <f t="shared" si="5"/>
        <v>-6.6922008502041472E-3</v>
      </c>
      <c r="F115" s="15">
        <f t="shared" si="6"/>
        <v>-4.709884215346365E-3</v>
      </c>
      <c r="G115" s="15">
        <f t="shared" si="7"/>
        <v>1.6867876334367859E-4</v>
      </c>
    </row>
    <row r="116" spans="1:7" x14ac:dyDescent="0.25">
      <c r="A116" s="11">
        <v>45691</v>
      </c>
      <c r="B116" s="12">
        <v>228.01</v>
      </c>
      <c r="C116" s="12">
        <v>151.87</v>
      </c>
      <c r="D116" s="13">
        <v>410.92</v>
      </c>
      <c r="E116" s="15">
        <f t="shared" si="5"/>
        <v>-3.3855932203389866E-2</v>
      </c>
      <c r="F116" s="15">
        <f t="shared" si="6"/>
        <v>-1.8402891883010262E-3</v>
      </c>
      <c r="G116" s="15">
        <f t="shared" si="7"/>
        <v>-9.9744615236351045E-3</v>
      </c>
    </row>
    <row r="117" spans="1:7" x14ac:dyDescent="0.25">
      <c r="A117" s="11">
        <v>45692</v>
      </c>
      <c r="B117" s="12">
        <v>232.8</v>
      </c>
      <c r="C117" s="12">
        <v>153.49</v>
      </c>
      <c r="D117" s="13">
        <v>412.37</v>
      </c>
      <c r="E117" s="15">
        <f t="shared" si="5"/>
        <v>2.1007850532871457E-2</v>
      </c>
      <c r="F117" s="15">
        <f t="shared" si="6"/>
        <v>1.0667017844208893E-2</v>
      </c>
      <c r="G117" s="15">
        <f t="shared" si="7"/>
        <v>3.528667380511994E-3</v>
      </c>
    </row>
    <row r="118" spans="1:7" x14ac:dyDescent="0.25">
      <c r="A118" s="11">
        <v>45693</v>
      </c>
      <c r="B118" s="12">
        <v>232.47</v>
      </c>
      <c r="C118" s="12">
        <v>154.69</v>
      </c>
      <c r="D118" s="13">
        <v>413.29</v>
      </c>
      <c r="E118" s="15">
        <f t="shared" si="5"/>
        <v>-1.41752577319593E-3</v>
      </c>
      <c r="F118" s="15">
        <f t="shared" si="6"/>
        <v>7.8180988989509977E-3</v>
      </c>
      <c r="G118" s="15">
        <f t="shared" si="7"/>
        <v>2.2310061352669107E-3</v>
      </c>
    </row>
    <row r="119" spans="1:7" x14ac:dyDescent="0.25">
      <c r="A119" s="11">
        <v>45694</v>
      </c>
      <c r="B119" s="12">
        <v>233.22</v>
      </c>
      <c r="C119" s="12">
        <v>153.51</v>
      </c>
      <c r="D119" s="13">
        <v>415.82</v>
      </c>
      <c r="E119" s="15">
        <f t="shared" si="5"/>
        <v>3.2262227384178602E-3</v>
      </c>
      <c r="F119" s="15">
        <f t="shared" si="6"/>
        <v>-7.6281595448962885E-3</v>
      </c>
      <c r="G119" s="15">
        <f t="shared" si="7"/>
        <v>6.1216095235790188E-3</v>
      </c>
    </row>
    <row r="120" spans="1:7" x14ac:dyDescent="0.25">
      <c r="A120" s="11">
        <v>45695</v>
      </c>
      <c r="B120" s="12">
        <v>227.63</v>
      </c>
      <c r="C120" s="12">
        <v>153.12</v>
      </c>
      <c r="D120" s="13">
        <v>409.75</v>
      </c>
      <c r="E120" s="15">
        <f t="shared" si="5"/>
        <v>-2.396878483835007E-2</v>
      </c>
      <c r="F120" s="15">
        <f t="shared" si="6"/>
        <v>-2.5405511041625066E-3</v>
      </c>
      <c r="G120" s="15">
        <f t="shared" si="7"/>
        <v>-1.4597662450098584E-2</v>
      </c>
    </row>
    <row r="121" spans="1:7" x14ac:dyDescent="0.25">
      <c r="A121" s="11">
        <v>45698</v>
      </c>
      <c r="B121" s="12">
        <v>227.65</v>
      </c>
      <c r="C121" s="12">
        <v>154.24</v>
      </c>
      <c r="D121" s="13">
        <v>412.22</v>
      </c>
      <c r="E121" s="15">
        <f t="shared" si="5"/>
        <v>8.7861881122919789E-5</v>
      </c>
      <c r="F121" s="15">
        <f t="shared" si="6"/>
        <v>7.314524555903896E-3</v>
      </c>
      <c r="G121" s="15">
        <f t="shared" si="7"/>
        <v>6.0280658938377729E-3</v>
      </c>
    </row>
    <row r="122" spans="1:7" x14ac:dyDescent="0.25">
      <c r="A122" s="11">
        <v>45699</v>
      </c>
      <c r="B122" s="12">
        <v>232.62</v>
      </c>
      <c r="C122" s="12">
        <v>156.13</v>
      </c>
      <c r="D122" s="13">
        <v>411.44</v>
      </c>
      <c r="E122" s="15">
        <f t="shared" si="5"/>
        <v>2.1831759279595866E-2</v>
      </c>
      <c r="F122" s="15">
        <f t="shared" si="6"/>
        <v>1.2253630705394102E-2</v>
      </c>
      <c r="G122" s="15">
        <f t="shared" si="7"/>
        <v>-1.8921934889137584E-3</v>
      </c>
    </row>
    <row r="123" spans="1:7" x14ac:dyDescent="0.25">
      <c r="A123" s="11">
        <v>45700</v>
      </c>
      <c r="B123" s="12">
        <v>236.87</v>
      </c>
      <c r="C123" s="12">
        <v>155.26</v>
      </c>
      <c r="D123" s="13">
        <v>409.04</v>
      </c>
      <c r="E123" s="15">
        <f t="shared" si="5"/>
        <v>1.8270140142722036E-2</v>
      </c>
      <c r="F123" s="15">
        <f t="shared" si="6"/>
        <v>-5.5722795106642195E-3</v>
      </c>
      <c r="G123" s="15">
        <f t="shared" si="7"/>
        <v>-5.8331713007971448E-3</v>
      </c>
    </row>
    <row r="124" spans="1:7" x14ac:dyDescent="0.25">
      <c r="A124" s="11">
        <v>45701</v>
      </c>
      <c r="B124" s="12">
        <v>241.53</v>
      </c>
      <c r="C124" s="12">
        <v>157.25</v>
      </c>
      <c r="D124" s="13">
        <v>410.54</v>
      </c>
      <c r="E124" s="15">
        <f t="shared" si="5"/>
        <v>1.9673238485245055E-2</v>
      </c>
      <c r="F124" s="15">
        <f t="shared" si="6"/>
        <v>1.2817209841556159E-2</v>
      </c>
      <c r="G124" s="15">
        <f t="shared" si="7"/>
        <v>3.667123019753569E-3</v>
      </c>
    </row>
    <row r="125" spans="1:7" x14ac:dyDescent="0.25">
      <c r="A125" s="11">
        <v>45702</v>
      </c>
      <c r="B125" s="12">
        <v>244.6</v>
      </c>
      <c r="C125" s="12">
        <v>156.15</v>
      </c>
      <c r="D125" s="13">
        <v>408.43</v>
      </c>
      <c r="E125" s="15">
        <f t="shared" si="5"/>
        <v>1.2710636359872452E-2</v>
      </c>
      <c r="F125" s="15">
        <f t="shared" si="6"/>
        <v>-6.9952305246422531E-3</v>
      </c>
      <c r="G125" s="15">
        <f t="shared" si="7"/>
        <v>-5.1395722706679336E-3</v>
      </c>
    </row>
    <row r="126" spans="1:7" x14ac:dyDescent="0.25">
      <c r="A126" s="11">
        <v>45706</v>
      </c>
      <c r="B126" s="12">
        <v>244.47</v>
      </c>
      <c r="C126" s="12">
        <v>154.99</v>
      </c>
      <c r="D126" s="13">
        <v>409.64</v>
      </c>
      <c r="E126" s="15">
        <f t="shared" si="5"/>
        <v>-5.3147996729352193E-4</v>
      </c>
      <c r="F126" s="15">
        <f t="shared" si="6"/>
        <v>-7.428754402817781E-3</v>
      </c>
      <c r="G126" s="15">
        <f t="shared" si="7"/>
        <v>2.9625639644491821E-3</v>
      </c>
    </row>
    <row r="127" spans="1:7" x14ac:dyDescent="0.25">
      <c r="A127" s="11">
        <v>45707</v>
      </c>
      <c r="B127" s="12">
        <v>244.87</v>
      </c>
      <c r="C127" s="12">
        <v>157.88999999999999</v>
      </c>
      <c r="D127" s="13">
        <v>414.77</v>
      </c>
      <c r="E127" s="15">
        <f t="shared" si="5"/>
        <v>1.6361925798666736E-3</v>
      </c>
      <c r="F127" s="15">
        <f t="shared" si="6"/>
        <v>1.8710884573198121E-2</v>
      </c>
      <c r="G127" s="15">
        <f t="shared" si="7"/>
        <v>1.2523191094619655E-2</v>
      </c>
    </row>
    <row r="128" spans="1:7" x14ac:dyDescent="0.25">
      <c r="A128" s="11">
        <v>45708</v>
      </c>
      <c r="B128" s="12">
        <v>245.83</v>
      </c>
      <c r="C128" s="12">
        <v>159.68</v>
      </c>
      <c r="D128" s="13">
        <v>416.13</v>
      </c>
      <c r="E128" s="15">
        <f t="shared" si="5"/>
        <v>3.9204475844325888E-3</v>
      </c>
      <c r="F128" s="15">
        <f t="shared" si="6"/>
        <v>1.1337006776870103E-2</v>
      </c>
      <c r="G128" s="15">
        <f t="shared" si="7"/>
        <v>3.278925669648272E-3</v>
      </c>
    </row>
    <row r="130" spans="4:7" ht="28.5" x14ac:dyDescent="0.25">
      <c r="D130" s="23" t="s">
        <v>6</v>
      </c>
      <c r="E130" s="33">
        <f>_xlfn.STDEV.P(E4:E128)</f>
        <v>1.3646645614270841E-2</v>
      </c>
      <c r="F130" s="33">
        <f>_xlfn.STDEV.P(F4:F128)</f>
        <v>9.8247969520946395E-3</v>
      </c>
      <c r="G130" s="33">
        <f>_xlfn.STDEV.P(G4:G128)</f>
        <v>1.3786936588080254E-2</v>
      </c>
    </row>
    <row r="131" spans="4:7" ht="24.6" customHeight="1" x14ac:dyDescent="0.25">
      <c r="D131" s="24" t="s">
        <v>7</v>
      </c>
      <c r="E131" s="22">
        <f>((B128 / B3)^(1 / 0.5)) - 1</f>
        <v>0.17786360364485243</v>
      </c>
      <c r="F131" s="22">
        <f>((C128 / C3)^(1 / 0.5)) - 1</f>
        <v>-5.9850239670417027E-3</v>
      </c>
      <c r="G131" s="22">
        <f>((D128 / D3)^(1 / 0.5)) - 1</f>
        <v>-4.0402657082894478E-2</v>
      </c>
    </row>
    <row r="132" spans="4:7" ht="42.75" x14ac:dyDescent="0.25">
      <c r="D132" s="23" t="s">
        <v>8</v>
      </c>
      <c r="E132" s="21">
        <f>E130*SQRT(252)</f>
        <v>0.21663378315354556</v>
      </c>
      <c r="F132" s="21">
        <f>F130*SQRT(252)</f>
        <v>0.15596381650168673</v>
      </c>
      <c r="G132" s="21">
        <f>G130*SQRT(252)</f>
        <v>0.21886083332086625</v>
      </c>
    </row>
    <row r="135" spans="4:7" x14ac:dyDescent="0.25">
      <c r="D135" s="3" t="s">
        <v>7</v>
      </c>
      <c r="E135" s="30">
        <v>0.17786360364485243</v>
      </c>
      <c r="F135" s="30">
        <v>-5.9850239670417027E-3</v>
      </c>
      <c r="G135" s="30">
        <v>-4.0402657082894478E-2</v>
      </c>
    </row>
    <row r="136" spans="4:7" x14ac:dyDescent="0.25">
      <c r="D136" s="3" t="s">
        <v>37</v>
      </c>
      <c r="E136" s="30">
        <f>AnnualizedVolatility(E130)</f>
        <v>0.21663378315354556</v>
      </c>
      <c r="F136" s="30">
        <f>AnnualizedVolatility(F130)</f>
        <v>0.15596381650168673</v>
      </c>
      <c r="G136" s="30">
        <f>AnnualizedVolatility(G130)</f>
        <v>0.21886083332086625</v>
      </c>
    </row>
  </sheetData>
  <mergeCells count="2">
    <mergeCell ref="E1:G1"/>
    <mergeCell ref="I9:L9"/>
  </mergeCells>
  <pageMargins left="0.7" right="0.7" top="0.75" bottom="0.75" header="0.3" footer="0.3"/>
  <ignoredErrors>
    <ignoredError sqref="O18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7F1B2-B0AC-483D-8E14-498D45CD692B}">
  <sheetPr codeName="Sheet2"/>
  <dimension ref="A1:M126"/>
  <sheetViews>
    <sheetView topLeftCell="A214" workbookViewId="0">
      <selection activeCell="E12" sqref="E12:H23"/>
    </sheetView>
  </sheetViews>
  <sheetFormatPr defaultRowHeight="15" x14ac:dyDescent="0.25"/>
  <cols>
    <col min="1" max="1" width="9.85546875" bestFit="1" customWidth="1"/>
    <col min="3" max="3" width="9.85546875" customWidth="1"/>
    <col min="5" max="5" width="14.140625" bestFit="1" customWidth="1"/>
    <col min="6" max="6" width="13.5703125" customWidth="1"/>
    <col min="7" max="7" width="15.42578125" bestFit="1" customWidth="1"/>
    <col min="8" max="8" width="19.140625" bestFit="1" customWidth="1"/>
    <col min="10" max="10" width="15.85546875" bestFit="1" customWidth="1"/>
    <col min="11" max="11" width="18.7109375" bestFit="1" customWidth="1"/>
  </cols>
  <sheetData>
    <row r="1" spans="1:13" x14ac:dyDescent="0.25">
      <c r="A1" s="6" t="s">
        <v>0</v>
      </c>
      <c r="B1" s="6" t="s">
        <v>4</v>
      </c>
      <c r="C1" s="27" t="s">
        <v>20</v>
      </c>
      <c r="E1" s="37" t="s">
        <v>25</v>
      </c>
      <c r="F1" s="37"/>
      <c r="G1" s="37"/>
      <c r="H1" s="37"/>
      <c r="I1" s="37"/>
      <c r="J1" s="37"/>
      <c r="K1" s="37"/>
      <c r="L1" s="37"/>
      <c r="M1" s="37"/>
    </row>
    <row r="2" spans="1:13" x14ac:dyDescent="0.25">
      <c r="A2" s="11">
        <v>45525</v>
      </c>
      <c r="B2" s="15">
        <f>('Q1-4'!B4-'Q1-4'!B3)/'Q1-4'!B3</f>
        <v>-4.8562977351986769E-4</v>
      </c>
      <c r="C2" s="15">
        <f>('Q1-4'!D4-'Q1-4'!D3)/'Q1-4'!D3</f>
        <v>-1.5536723163842396E-3</v>
      </c>
      <c r="G2" s="3" t="s">
        <v>4</v>
      </c>
      <c r="H2" s="3" t="s">
        <v>20</v>
      </c>
      <c r="I2" s="3" t="s">
        <v>13</v>
      </c>
      <c r="J2" s="3" t="s">
        <v>31</v>
      </c>
      <c r="K2" s="3" t="s">
        <v>32</v>
      </c>
    </row>
    <row r="3" spans="1:13" x14ac:dyDescent="0.25">
      <c r="A3" s="11">
        <v>45526</v>
      </c>
      <c r="B3" s="15">
        <f>('Q1-4'!B5-'Q1-4'!B4)/'Q1-4'!B4</f>
        <v>-8.2597173144876527E-3</v>
      </c>
      <c r="C3" s="15">
        <f>('Q1-4'!D5-'Q1-4'!D4)/'Q1-4'!D4</f>
        <v>-2.0252746734568717E-2</v>
      </c>
      <c r="E3" s="3" t="s">
        <v>26</v>
      </c>
      <c r="F3" s="3"/>
      <c r="G3" s="26">
        <f>AVERAGE(B2:B126)</f>
        <v>7.4837521011487582E-4</v>
      </c>
      <c r="H3" s="26">
        <f>AVERAGE(C2:C126)</f>
        <v>-6.8776971189643429E-5</v>
      </c>
    </row>
    <row r="4" spans="1:13" x14ac:dyDescent="0.25">
      <c r="A4" s="11">
        <v>45527</v>
      </c>
      <c r="B4" s="15">
        <f>('Q1-4'!B6-'Q1-4'!B5)/'Q1-4'!B5</f>
        <v>1.0288157484523237E-2</v>
      </c>
      <c r="C4" s="15">
        <f>('Q1-4'!D6-'Q1-4'!D5)/'Q1-4'!D5</f>
        <v>2.9839971122608811E-3</v>
      </c>
      <c r="E4" s="3" t="s">
        <v>27</v>
      </c>
      <c r="F4" s="3"/>
      <c r="G4" s="3">
        <f>_xlfn.STDEV.S(B2:B126)</f>
        <v>1.3701561915081069E-2</v>
      </c>
      <c r="H4" s="3">
        <f>_xlfn.STDEV.S(C2:C126)</f>
        <v>1.3842417442373911E-2</v>
      </c>
    </row>
    <row r="5" spans="1:13" x14ac:dyDescent="0.25">
      <c r="A5" s="11">
        <v>45530</v>
      </c>
      <c r="B5" s="15">
        <f>('Q1-4'!B7-'Q1-4'!B6)/'Q1-4'!B6</f>
        <v>1.4988538176688565E-3</v>
      </c>
      <c r="C5" s="15">
        <f>('Q1-4'!D7-'Q1-4'!D6)/'Q1-4'!D6</f>
        <v>-7.9176563737134078E-3</v>
      </c>
      <c r="E5" s="3" t="s">
        <v>30</v>
      </c>
      <c r="F5" s="3"/>
      <c r="G5" s="18">
        <v>1.0000000000000002</v>
      </c>
      <c r="H5" s="18">
        <v>0</v>
      </c>
      <c r="I5" s="1">
        <f>G5+H5</f>
        <v>1.0000000000000002</v>
      </c>
      <c r="J5" s="2">
        <f>SQRT(G5^2*G4^2+H5^2*H4^2+2*G5*H5*F6*G4*H4)</f>
        <v>1.3701561915081073E-2</v>
      </c>
      <c r="K5" s="2">
        <f>SUMPRODUCT(G3:H3,G5:H5)</f>
        <v>7.4837521011487604E-4</v>
      </c>
    </row>
    <row r="6" spans="1:13" x14ac:dyDescent="0.25">
      <c r="A6" s="11">
        <v>45531</v>
      </c>
      <c r="B6" s="15">
        <f>('Q1-4'!B8-'Q1-4'!B7)/'Q1-4'!B7</f>
        <v>3.7415265428294492E-3</v>
      </c>
      <c r="C6" s="15">
        <f>('Q1-4'!D8-'Q1-4'!D7)/'Q1-4'!D7</f>
        <v>8.4645336041975832E-4</v>
      </c>
      <c r="E6" s="3" t="s">
        <v>28</v>
      </c>
      <c r="F6" s="21">
        <f>CORREL(B2:B126,C2:C126)</f>
        <v>0.44410308246076091</v>
      </c>
      <c r="G6" s="3"/>
      <c r="H6" s="3"/>
    </row>
    <row r="7" spans="1:13" x14ac:dyDescent="0.25">
      <c r="A7" s="11">
        <v>45532</v>
      </c>
      <c r="B7" s="15">
        <f>('Q1-4'!B9-'Q1-4'!B8)/'Q1-4'!B8</f>
        <v>-6.7534973468402933E-3</v>
      </c>
      <c r="C7" s="15">
        <f>('Q1-4'!D9-'Q1-4'!D8)/'Q1-4'!D8</f>
        <v>-7.829112700560489E-3</v>
      </c>
      <c r="E7" s="3" t="s">
        <v>34</v>
      </c>
      <c r="F7" s="30">
        <v>4.3020000000000003E-2</v>
      </c>
    </row>
    <row r="8" spans="1:13" x14ac:dyDescent="0.25">
      <c r="A8" s="11">
        <v>45533</v>
      </c>
      <c r="B8" s="15">
        <f>('Q1-4'!B10-'Q1-4'!B9)/'Q1-4'!B9</f>
        <v>1.4570179698882878E-2</v>
      </c>
      <c r="C8" s="15">
        <f>('Q1-4'!D10-'Q1-4'!D9)/'Q1-4'!D9</f>
        <v>6.1373599610325905E-3</v>
      </c>
      <c r="E8" s="3" t="s">
        <v>33</v>
      </c>
      <c r="F8" s="30">
        <f>F7/90</f>
        <v>4.7800000000000002E-4</v>
      </c>
    </row>
    <row r="9" spans="1:13" x14ac:dyDescent="0.25">
      <c r="A9" s="11">
        <v>45534</v>
      </c>
      <c r="B9" s="15">
        <f>('Q1-4'!B11-'Q1-4'!B10)/'Q1-4'!B10</f>
        <v>-3.4379215805735329E-3</v>
      </c>
      <c r="C9" s="15">
        <f>('Q1-4'!D11-'Q1-4'!D10)/'Q1-4'!D10</f>
        <v>9.7308288148721476E-3</v>
      </c>
      <c r="E9" s="3" t="s">
        <v>29</v>
      </c>
      <c r="F9" s="31">
        <f>(K5-F8)/J5</f>
        <v>1.9733167049902443E-2</v>
      </c>
    </row>
    <row r="10" spans="1:13" x14ac:dyDescent="0.25">
      <c r="A10" s="11">
        <v>45538</v>
      </c>
      <c r="B10" s="15">
        <f>('Q1-4'!B12-'Q1-4'!B11)/'Q1-4'!B11</f>
        <v>-2.7205240174672445E-2</v>
      </c>
      <c r="C10" s="15">
        <f>('Q1-4'!D12-'Q1-4'!D11)/'Q1-4'!D11</f>
        <v>-1.8459030541305051E-2</v>
      </c>
    </row>
    <row r="11" spans="1:13" x14ac:dyDescent="0.25">
      <c r="A11" s="11">
        <v>45539</v>
      </c>
      <c r="B11" s="15">
        <f>('Q1-4'!B13-'Q1-4'!B12)/'Q1-4'!B12</f>
        <v>-8.6187547694932705E-3</v>
      </c>
      <c r="C11" s="15">
        <f>('Q1-4'!D13-'Q1-4'!D12)/'Q1-4'!D12</f>
        <v>-1.3188745603751966E-3</v>
      </c>
      <c r="E11" s="38" t="s">
        <v>24</v>
      </c>
      <c r="F11" s="38"/>
      <c r="G11" s="29"/>
      <c r="H11" s="28"/>
    </row>
    <row r="12" spans="1:13" x14ac:dyDescent="0.25">
      <c r="A12" s="11">
        <v>45540</v>
      </c>
      <c r="B12" s="15">
        <f>('Q1-4'!B14-'Q1-4'!B13)/'Q1-4'!B13</f>
        <v>6.9277790355444929E-3</v>
      </c>
      <c r="C12" s="15">
        <f>('Q1-4'!D14-'Q1-4'!D13)/'Q1-4'!D13</f>
        <v>-1.247248716067476E-3</v>
      </c>
      <c r="E12" s="3" t="s">
        <v>4</v>
      </c>
      <c r="F12" s="3" t="s">
        <v>20</v>
      </c>
      <c r="G12" s="3" t="s">
        <v>35</v>
      </c>
      <c r="H12" s="3" t="s">
        <v>36</v>
      </c>
    </row>
    <row r="13" spans="1:13" x14ac:dyDescent="0.25">
      <c r="A13" s="11">
        <v>45541</v>
      </c>
      <c r="B13" s="15">
        <f>('Q1-4'!B15-'Q1-4'!B14)/'Q1-4'!B14</f>
        <v>-7.0150193362712582E-3</v>
      </c>
      <c r="C13" s="15">
        <f>('Q1-4'!D15-'Q1-4'!D14)/'Q1-4'!D14</f>
        <v>-1.6381400132226543E-2</v>
      </c>
      <c r="E13" s="22">
        <v>0</v>
      </c>
      <c r="F13" s="22">
        <f>1-E13</f>
        <v>1</v>
      </c>
      <c r="G13" s="15">
        <f>SQRT(E13^2*$G$4^2+F13^2*$H$4^2+2*E13*F13*$F$6*$G$4*$H$4)</f>
        <v>1.3842417442373911E-2</v>
      </c>
      <c r="H13" s="32">
        <f>E13*$K$5+F13*$F$8</f>
        <v>4.7800000000000002E-4</v>
      </c>
    </row>
    <row r="14" spans="1:13" x14ac:dyDescent="0.25">
      <c r="A14" s="11">
        <v>45544</v>
      </c>
      <c r="B14" s="15">
        <f>('Q1-4'!B16-'Q1-4'!B15)/'Q1-4'!B15</f>
        <v>4.0757177791868223E-4</v>
      </c>
      <c r="C14" s="15">
        <f>('Q1-4'!D16-'Q1-4'!D15)/'Q1-4'!D15</f>
        <v>1.0007468259895541E-2</v>
      </c>
      <c r="E14" s="22">
        <v>0.1</v>
      </c>
      <c r="F14" s="22">
        <f t="shared" ref="F14:F23" si="0">1-E14</f>
        <v>0.9</v>
      </c>
      <c r="G14" s="15">
        <f t="shared" ref="G14:G23" si="1">SQRT(E14^2*$G$4^2+F14^2*$H$4^2+2*E14*F14*$F$6*$G$4*$H$4)</f>
        <v>1.3124207977216296E-2</v>
      </c>
      <c r="H14" s="32">
        <f t="shared" ref="H14:H23" si="2">E14*$K$5+F14*$F$8</f>
        <v>5.0503752101148771E-4</v>
      </c>
    </row>
    <row r="15" spans="1:13" x14ac:dyDescent="0.25">
      <c r="A15" s="11">
        <v>45545</v>
      </c>
      <c r="B15" s="15">
        <f>('Q1-4'!B17-'Q1-4'!B16)/'Q1-4'!B16</f>
        <v>-3.6213842741387122E-3</v>
      </c>
      <c r="C15" s="15">
        <f>('Q1-4'!D17-'Q1-4'!D16)/'Q1-4'!D16</f>
        <v>2.0901114068815837E-2</v>
      </c>
      <c r="E15" s="22">
        <v>0.2</v>
      </c>
      <c r="F15" s="22">
        <f t="shared" si="0"/>
        <v>0.8</v>
      </c>
      <c r="G15" s="15">
        <f t="shared" si="1"/>
        <v>1.2533748980598369E-2</v>
      </c>
      <c r="H15" s="32">
        <f t="shared" si="2"/>
        <v>5.3207504202297529E-4</v>
      </c>
    </row>
    <row r="16" spans="1:13" x14ac:dyDescent="0.25">
      <c r="A16" s="11">
        <v>45546</v>
      </c>
      <c r="B16" s="15">
        <f>('Q1-4'!B18-'Q1-4'!B17)/'Q1-4'!B17</f>
        <v>1.1585116532642692E-2</v>
      </c>
      <c r="C16" s="15">
        <f>('Q1-4'!D18-'Q1-4'!D17)/'Q1-4'!D17</f>
        <v>2.13423466924192E-2</v>
      </c>
      <c r="E16" s="22">
        <v>0.3</v>
      </c>
      <c r="F16" s="22">
        <f t="shared" si="0"/>
        <v>0.7</v>
      </c>
      <c r="G16" s="15">
        <f t="shared" si="1"/>
        <v>1.208977278889913E-2</v>
      </c>
      <c r="H16" s="32">
        <f t="shared" si="2"/>
        <v>5.5911256303446287E-4</v>
      </c>
    </row>
    <row r="17" spans="1:8" x14ac:dyDescent="0.25">
      <c r="A17" s="11">
        <v>45547</v>
      </c>
      <c r="B17" s="15">
        <f>('Q1-4'!B19-'Q1-4'!B18)/'Q1-4'!B18</f>
        <v>4.9402676726854238E-4</v>
      </c>
      <c r="C17" s="15">
        <f>('Q1-4'!D19-'Q1-4'!D18)/'Q1-4'!D18</f>
        <v>9.3608169440241567E-3</v>
      </c>
      <c r="E17" s="22">
        <v>0.4</v>
      </c>
      <c r="F17" s="22">
        <f t="shared" si="0"/>
        <v>0.6</v>
      </c>
      <c r="G17" s="15">
        <f t="shared" si="1"/>
        <v>1.1808812927847297E-2</v>
      </c>
      <c r="H17" s="32">
        <f t="shared" si="2"/>
        <v>5.8615008404595045E-4</v>
      </c>
    </row>
    <row r="18" spans="1:8" x14ac:dyDescent="0.25">
      <c r="A18" s="11">
        <v>45548</v>
      </c>
      <c r="B18" s="15">
        <f>('Q1-4'!B20-'Q1-4'!B19)/'Q1-4'!B19</f>
        <v>-1.2120123894600271E-3</v>
      </c>
      <c r="C18" s="15">
        <f>('Q1-4'!D20-'Q1-4'!D19)/'Q1-4'!D19</f>
        <v>8.4074941451990053E-3</v>
      </c>
      <c r="E18" s="22">
        <v>0.5</v>
      </c>
      <c r="F18" s="22">
        <f t="shared" si="0"/>
        <v>0.5</v>
      </c>
      <c r="G18" s="15">
        <f t="shared" si="1"/>
        <v>1.1702616525449063E-2</v>
      </c>
      <c r="H18" s="32">
        <f t="shared" si="2"/>
        <v>6.1318760505743803E-4</v>
      </c>
    </row>
    <row r="19" spans="1:8" x14ac:dyDescent="0.25">
      <c r="A19" s="11">
        <v>45551</v>
      </c>
      <c r="B19" s="15">
        <f>('Q1-4'!B21-'Q1-4'!B20)/'Q1-4'!B20</f>
        <v>-2.7775280898876435E-2</v>
      </c>
      <c r="C19" s="15">
        <f>('Q1-4'!D21-'Q1-4'!D20)/'Q1-4'!D20</f>
        <v>1.7417961401797535E-3</v>
      </c>
      <c r="E19" s="22">
        <v>0.6</v>
      </c>
      <c r="F19" s="22">
        <f t="shared" si="0"/>
        <v>0.4</v>
      </c>
      <c r="G19" s="15">
        <f t="shared" si="1"/>
        <v>1.1775912636295582E-2</v>
      </c>
      <c r="H19" s="32">
        <f t="shared" si="2"/>
        <v>6.4022512606892561E-4</v>
      </c>
    </row>
    <row r="20" spans="1:8" x14ac:dyDescent="0.25">
      <c r="A20" s="11">
        <v>45552</v>
      </c>
      <c r="B20" s="15">
        <f>('Q1-4'!B22-'Q1-4'!B21)/'Q1-4'!B21</f>
        <v>2.1727071005917106E-3</v>
      </c>
      <c r="C20" s="15">
        <f>('Q1-4'!D22-'Q1-4'!D21)/'Q1-4'!D21</f>
        <v>8.8329392126860543E-3</v>
      </c>
      <c r="E20" s="22">
        <v>0.7</v>
      </c>
      <c r="F20" s="22">
        <f t="shared" si="0"/>
        <v>0.30000000000000004</v>
      </c>
      <c r="G20" s="15">
        <f t="shared" si="1"/>
        <v>1.2025419634788254E-2</v>
      </c>
      <c r="H20" s="32">
        <f t="shared" si="2"/>
        <v>6.6726264708041319E-4</v>
      </c>
    </row>
    <row r="21" spans="1:8" x14ac:dyDescent="0.25">
      <c r="A21" s="11">
        <v>45553</v>
      </c>
      <c r="B21" s="15">
        <f>('Q1-4'!B23-'Q1-4'!B22)/'Q1-4'!B22</f>
        <v>1.7989759675261802E-2</v>
      </c>
      <c r="C21" s="15">
        <f>('Q1-4'!D23-'Q1-4'!D22)/'Q1-4'!D22</f>
        <v>-9.973572331379927E-3</v>
      </c>
      <c r="E21" s="22">
        <v>0.8</v>
      </c>
      <c r="F21" s="22">
        <f t="shared" si="0"/>
        <v>0.19999999999999996</v>
      </c>
      <c r="G21" s="15">
        <f t="shared" si="1"/>
        <v>1.2440539798054109E-2</v>
      </c>
      <c r="H21" s="32">
        <f t="shared" si="2"/>
        <v>6.9430016809190077E-4</v>
      </c>
    </row>
    <row r="22" spans="1:8" x14ac:dyDescent="0.25">
      <c r="A22" s="11">
        <v>45554</v>
      </c>
      <c r="B22" s="15">
        <f>('Q1-4'!B24-'Q1-4'!B23)/'Q1-4'!B23</f>
        <v>3.706556708505146E-2</v>
      </c>
      <c r="C22" s="15">
        <f>('Q1-4'!D24-'Q1-4'!D23)/'Q1-4'!D23</f>
        <v>1.8291126018430387E-2</v>
      </c>
      <c r="E22" s="22">
        <v>0.9</v>
      </c>
      <c r="F22" s="22">
        <f t="shared" si="0"/>
        <v>9.9999999999999978E-2</v>
      </c>
      <c r="G22" s="15">
        <f t="shared" si="1"/>
        <v>1.3005424162260833E-2</v>
      </c>
      <c r="H22" s="32">
        <f t="shared" si="2"/>
        <v>7.2133768910338846E-4</v>
      </c>
    </row>
    <row r="23" spans="1:8" x14ac:dyDescent="0.25">
      <c r="A23" s="11">
        <v>45555</v>
      </c>
      <c r="B23" s="15">
        <f>('Q1-4'!B25-'Q1-4'!B24)/'Q1-4'!B24</f>
        <v>-2.9274260497226196E-3</v>
      </c>
      <c r="C23" s="15">
        <f>('Q1-4'!D25-'Q1-4'!D24)/'Q1-4'!D24</f>
        <v>-7.7959379060384693E-3</v>
      </c>
      <c r="E23" s="22">
        <v>1</v>
      </c>
      <c r="F23" s="22">
        <f t="shared" si="0"/>
        <v>0</v>
      </c>
      <c r="G23" s="15">
        <f t="shared" si="1"/>
        <v>1.3701561915081069E-2</v>
      </c>
      <c r="H23" s="32">
        <f t="shared" si="2"/>
        <v>7.4837521011487604E-4</v>
      </c>
    </row>
    <row r="24" spans="1:8" x14ac:dyDescent="0.25">
      <c r="A24" s="11">
        <v>45558</v>
      </c>
      <c r="B24" s="15">
        <f>('Q1-4'!B26-'Q1-4'!B25)/'Q1-4'!B25</f>
        <v>-7.5810692375109104E-3</v>
      </c>
      <c r="C24" s="15">
        <f>('Q1-4'!D26-'Q1-4'!D25)/'Q1-4'!D25</f>
        <v>-4.0434672731867365E-3</v>
      </c>
    </row>
    <row r="25" spans="1:8" x14ac:dyDescent="0.25">
      <c r="A25" s="11">
        <v>45559</v>
      </c>
      <c r="B25" s="15">
        <f>('Q1-4'!B27-'Q1-4'!B26)/'Q1-4'!B26</f>
        <v>3.9740362961981973E-3</v>
      </c>
      <c r="C25" s="15">
        <f>('Q1-4'!D27-'Q1-4'!D26)/'Q1-4'!D26</f>
        <v>-1.0011303084127184E-2</v>
      </c>
    </row>
    <row r="26" spans="1:8" x14ac:dyDescent="0.25">
      <c r="A26" s="11">
        <v>45560</v>
      </c>
      <c r="B26" s="15">
        <f>('Q1-4'!B28-'Q1-4'!B27)/'Q1-4'!B27</f>
        <v>-4.3981176056647753E-3</v>
      </c>
      <c r="C26" s="15">
        <f>('Q1-4'!D28-'Q1-4'!D27)/'Q1-4'!D27</f>
        <v>6.85043222965258E-3</v>
      </c>
    </row>
    <row r="27" spans="1:8" x14ac:dyDescent="0.25">
      <c r="A27" s="11">
        <v>45561</v>
      </c>
      <c r="B27" s="15">
        <f>('Q1-4'!B29-'Q1-4'!B28)/'Q1-4'!B28</f>
        <v>5.0801784688784104E-3</v>
      </c>
      <c r="C27" s="15">
        <f>('Q1-4'!D29-'Q1-4'!D28)/'Q1-4'!D28</f>
        <v>-1.8513804355372737E-3</v>
      </c>
    </row>
    <row r="28" spans="1:8" x14ac:dyDescent="0.25">
      <c r="A28" s="11">
        <v>45562</v>
      </c>
      <c r="B28" s="15">
        <f>('Q1-4'!B30-'Q1-4'!B29)/'Q1-4'!B29</f>
        <v>1.1867088607594137E-3</v>
      </c>
      <c r="C28" s="15">
        <f>('Q1-4'!D30-'Q1-4'!D29)/'Q1-4'!D29</f>
        <v>-7.6279242308316996E-3</v>
      </c>
    </row>
    <row r="29" spans="1:8" x14ac:dyDescent="0.25">
      <c r="A29" s="11">
        <v>45565</v>
      </c>
      <c r="B29" s="15">
        <f>('Q1-4'!B31-'Q1-4'!B30)/'Q1-4'!B30</f>
        <v>2.2871943456692603E-2</v>
      </c>
      <c r="C29" s="15">
        <f>('Q1-4'!D31-'Q1-4'!D30)/'Q1-4'!D30</f>
        <v>5.3268538853325307E-3</v>
      </c>
    </row>
    <row r="30" spans="1:8" x14ac:dyDescent="0.25">
      <c r="A30" s="11">
        <v>45566</v>
      </c>
      <c r="B30" s="15">
        <f>('Q1-4'!B32-'Q1-4'!B31)/'Q1-4'!B31</f>
        <v>-2.9141630901287519E-2</v>
      </c>
      <c r="C30" s="15">
        <f>('Q1-4'!D32-'Q1-4'!D31)/'Q1-4'!D31</f>
        <v>-2.2333255867999103E-2</v>
      </c>
    </row>
    <row r="31" spans="1:8" x14ac:dyDescent="0.25">
      <c r="A31" s="11">
        <v>45567</v>
      </c>
      <c r="B31" s="15">
        <f>('Q1-4'!B33-'Q1-4'!B32)/'Q1-4'!B32</f>
        <v>2.5197825029839227E-3</v>
      </c>
      <c r="C31" s="15">
        <f>('Q1-4'!D33-'Q1-4'!D32)/'Q1-4'!D32</f>
        <v>-8.462288145665459E-3</v>
      </c>
    </row>
    <row r="32" spans="1:8" x14ac:dyDescent="0.25">
      <c r="A32" s="11">
        <v>45568</v>
      </c>
      <c r="B32" s="15">
        <f>('Q1-4'!B34-'Q1-4'!B33)/'Q1-4'!B33</f>
        <v>-4.8946115177705869E-3</v>
      </c>
      <c r="C32" s="15">
        <f>('Q1-4'!D34-'Q1-4'!D33)/'Q1-4'!D33</f>
        <v>-1.4144271570013544E-3</v>
      </c>
    </row>
    <row r="33" spans="1:3" x14ac:dyDescent="0.25">
      <c r="A33" s="11">
        <v>45569</v>
      </c>
      <c r="B33" s="15">
        <f>('Q1-4'!B35-'Q1-4'!B34)/'Q1-4'!B34</f>
        <v>5.0073115611291887E-3</v>
      </c>
      <c r="C33" s="15">
        <f>('Q1-4'!D35-'Q1-4'!D34)/'Q1-4'!D34</f>
        <v>-1.1523503144956503E-3</v>
      </c>
    </row>
    <row r="34" spans="1:3" x14ac:dyDescent="0.25">
      <c r="A34" s="11">
        <v>45572</v>
      </c>
      <c r="B34" s="15">
        <f>('Q1-4'!B36-'Q1-4'!B35)/'Q1-4'!B35</f>
        <v>-2.2530864197530923E-2</v>
      </c>
      <c r="C34" s="15">
        <f>('Q1-4'!D36-'Q1-4'!D35)/'Q1-4'!D35</f>
        <v>-1.5670816709128448E-2</v>
      </c>
    </row>
    <row r="35" spans="1:3" x14ac:dyDescent="0.25">
      <c r="A35" s="11">
        <v>45573</v>
      </c>
      <c r="B35" s="15">
        <f>('Q1-4'!B37-'Q1-4'!B36)/'Q1-4'!B36</f>
        <v>1.8404077766250224E-2</v>
      </c>
      <c r="C35" s="15">
        <f>('Q1-4'!D37-'Q1-4'!D36)/'Q1-4'!D36</f>
        <v>1.2623919519460758E-2</v>
      </c>
    </row>
    <row r="36" spans="1:3" x14ac:dyDescent="0.25">
      <c r="A36" s="11">
        <v>45574</v>
      </c>
      <c r="B36" s="15">
        <f>('Q1-4'!B38-'Q1-4'!B37)/'Q1-4'!B37</f>
        <v>1.6698409886167258E-2</v>
      </c>
      <c r="C36" s="15">
        <f>('Q1-4'!D38-'Q1-4'!D37)/'Q1-4'!D37</f>
        <v>6.6311398326541439E-3</v>
      </c>
    </row>
    <row r="37" spans="1:3" x14ac:dyDescent="0.25">
      <c r="A37" s="11">
        <v>45575</v>
      </c>
      <c r="B37" s="15">
        <f>('Q1-4'!B39-'Q1-4'!B38)/'Q1-4'!B38</f>
        <v>-2.178269582643548E-3</v>
      </c>
      <c r="C37" s="15">
        <f>('Q1-4'!D39-'Q1-4'!D38)/'Q1-4'!D38</f>
        <v>-3.8806113160542439E-3</v>
      </c>
    </row>
    <row r="38" spans="1:3" x14ac:dyDescent="0.25">
      <c r="A38" s="11">
        <v>45576</v>
      </c>
      <c r="B38" s="15">
        <f>('Q1-4'!B40-'Q1-4'!B39)/'Q1-4'!B39</f>
        <v>-6.5054139015018365E-3</v>
      </c>
      <c r="C38" s="15">
        <f>('Q1-4'!D40-'Q1-4'!D39)/'Q1-4'!D39</f>
        <v>1.1542901115814213E-3</v>
      </c>
    </row>
    <row r="39" spans="1:3" x14ac:dyDescent="0.25">
      <c r="A39" s="11">
        <v>45579</v>
      </c>
      <c r="B39" s="15">
        <f>('Q1-4'!B41-'Q1-4'!B40)/'Q1-4'!B40</f>
        <v>1.6479894528675015E-2</v>
      </c>
      <c r="C39" s="15">
        <f>('Q1-4'!D41-'Q1-4'!D40)/'Q1-4'!D40</f>
        <v>6.7736356648731583E-3</v>
      </c>
    </row>
    <row r="40" spans="1:3" x14ac:dyDescent="0.25">
      <c r="A40" s="11">
        <v>45580</v>
      </c>
      <c r="B40" s="15">
        <f>('Q1-4'!B42-'Q1-4'!B41)/'Q1-4'!B41</f>
        <v>1.1024643320363091E-2</v>
      </c>
      <c r="C40" s="15">
        <f>('Q1-4'!D42-'Q1-4'!D41)/'Q1-4'!D41</f>
        <v>-9.5433506704198422E-4</v>
      </c>
    </row>
    <row r="41" spans="1:3" x14ac:dyDescent="0.25">
      <c r="A41" s="11">
        <v>45581</v>
      </c>
      <c r="B41" s="15">
        <f>('Q1-4'!B43-'Q1-4'!B42)/'Q1-4'!B42</f>
        <v>-8.8518280949326199E-3</v>
      </c>
      <c r="C41" s="15">
        <f>('Q1-4'!D43-'Q1-4'!D42)/'Q1-4'!D42</f>
        <v>-6.2568658356020549E-3</v>
      </c>
    </row>
    <row r="42" spans="1:3" x14ac:dyDescent="0.25">
      <c r="A42" s="11">
        <v>45582</v>
      </c>
      <c r="B42" s="15">
        <f>('Q1-4'!B44-'Q1-4'!B43)/'Q1-4'!B43</f>
        <v>1.5963413581845049E-3</v>
      </c>
      <c r="C42" s="15">
        <f>('Q1-4'!D44-'Q1-4'!D43)/'Q1-4'!D43</f>
        <v>1.4418917619917879E-3</v>
      </c>
    </row>
    <row r="43" spans="1:3" x14ac:dyDescent="0.25">
      <c r="A43" s="11">
        <v>45583</v>
      </c>
      <c r="B43" s="15">
        <f>('Q1-4'!B45-'Q1-4'!B44)/'Q1-4'!B44</f>
        <v>1.2276545337066527E-2</v>
      </c>
      <c r="C43" s="15">
        <f>('Q1-4'!D45-'Q1-4'!D44)/'Q1-4'!D44</f>
        <v>3.4555576886158516E-3</v>
      </c>
    </row>
    <row r="44" spans="1:3" x14ac:dyDescent="0.25">
      <c r="A44" s="11">
        <v>45586</v>
      </c>
      <c r="B44" s="15">
        <f>('Q1-4'!B46-'Q1-4'!B45)/'Q1-4'!B45</f>
        <v>6.2978723404254885E-3</v>
      </c>
      <c r="C44" s="15">
        <f>('Q1-4'!D46-'Q1-4'!D45)/'Q1-4'!D45</f>
        <v>1.4826860531852585E-3</v>
      </c>
    </row>
    <row r="45" spans="1:3" x14ac:dyDescent="0.25">
      <c r="A45" s="11">
        <v>45587</v>
      </c>
      <c r="B45" s="15">
        <f>('Q1-4'!B47-'Q1-4'!B46)/'Q1-4'!B46</f>
        <v>-2.6217861975641752E-3</v>
      </c>
      <c r="C45" s="15">
        <f>('Q1-4'!D47-'Q1-4'!D46)/'Q1-4'!D46</f>
        <v>2.0846267730073115E-2</v>
      </c>
    </row>
    <row r="46" spans="1:3" x14ac:dyDescent="0.25">
      <c r="A46" s="11">
        <v>45588</v>
      </c>
      <c r="B46" s="15">
        <f>('Q1-4'!B48-'Q1-4'!B47)/'Q1-4'!B47</f>
        <v>-2.1622996692953544E-2</v>
      </c>
      <c r="C46" s="15">
        <f>('Q1-4'!D48-'Q1-4'!D47)/'Q1-4'!D47</f>
        <v>-6.8068583191035724E-3</v>
      </c>
    </row>
    <row r="47" spans="1:3" x14ac:dyDescent="0.25">
      <c r="A47" s="11">
        <v>45589</v>
      </c>
      <c r="B47" s="15">
        <f>('Q1-4'!B49-'Q1-4'!B48)/'Q1-4'!B48</f>
        <v>-8.2336626798404291E-4</v>
      </c>
      <c r="C47" s="15">
        <f>('Q1-4'!D49-'Q1-4'!D48)/'Q1-4'!D48</f>
        <v>3.061705134243887E-4</v>
      </c>
    </row>
    <row r="48" spans="1:3" x14ac:dyDescent="0.25">
      <c r="A48" s="11">
        <v>45590</v>
      </c>
      <c r="B48" s="15">
        <f>('Q1-4'!B50-'Q1-4'!B49)/'Q1-4'!B49</f>
        <v>3.6431452487314196E-3</v>
      </c>
      <c r="C48" s="15">
        <f>('Q1-4'!D50-'Q1-4'!D49)/'Q1-4'!D49</f>
        <v>8.0521743225106749E-3</v>
      </c>
    </row>
    <row r="49" spans="1:3" x14ac:dyDescent="0.25">
      <c r="A49" s="11">
        <v>45593</v>
      </c>
      <c r="B49" s="15">
        <f>('Q1-4'!B51-'Q1-4'!B50)/'Q1-4'!B50</f>
        <v>8.599455511862102E-3</v>
      </c>
      <c r="C49" s="15">
        <f>('Q1-4'!D51-'Q1-4'!D50)/'Q1-4'!D50</f>
        <v>-3.6435828564755396E-3</v>
      </c>
    </row>
    <row r="50" spans="1:3" x14ac:dyDescent="0.25">
      <c r="A50" s="11">
        <v>45594</v>
      </c>
      <c r="B50" s="15">
        <f>('Q1-4'!B52-'Q1-4'!B51)/'Q1-4'!B51</f>
        <v>1.1568123393315415E-3</v>
      </c>
      <c r="C50" s="15">
        <f>('Q1-4'!D52-'Q1-4'!D51)/'Q1-4'!D51</f>
        <v>1.2564757729904626E-2</v>
      </c>
    </row>
    <row r="51" spans="1:3" x14ac:dyDescent="0.25">
      <c r="A51" s="11">
        <v>45595</v>
      </c>
      <c r="B51" s="15">
        <f>('Q1-4'!B53-'Q1-4'!B52)/'Q1-4'!B52</f>
        <v>-1.5277956091924481E-2</v>
      </c>
      <c r="C51" s="15">
        <f>('Q1-4'!D53-'Q1-4'!D52)/'Q1-4'!D52</f>
        <v>1.342748003241079E-3</v>
      </c>
    </row>
    <row r="52" spans="1:3" x14ac:dyDescent="0.25">
      <c r="A52" s="11">
        <v>45596</v>
      </c>
      <c r="B52" s="15">
        <f>('Q1-4'!B54-'Q1-4'!B53)/'Q1-4'!B53</f>
        <v>-1.8209474141677524E-2</v>
      </c>
      <c r="C52" s="15">
        <f>('Q1-4'!D54-'Q1-4'!D53)/'Q1-4'!D53</f>
        <v>-6.0527593461725086E-2</v>
      </c>
    </row>
    <row r="53" spans="1:3" x14ac:dyDescent="0.25">
      <c r="A53" s="11">
        <v>45597</v>
      </c>
      <c r="B53" s="15">
        <f>('Q1-4'!B55-'Q1-4'!B54)/'Q1-4'!B54</f>
        <v>-1.3279624629277146E-2</v>
      </c>
      <c r="C53" s="15">
        <f>('Q1-4'!D55-'Q1-4'!D54)/'Q1-4'!D54</f>
        <v>9.8929494278331039E-3</v>
      </c>
    </row>
    <row r="54" spans="1:3" x14ac:dyDescent="0.25">
      <c r="A54" s="11">
        <v>45600</v>
      </c>
      <c r="B54" s="15">
        <f>('Q1-4'!B56-'Q1-4'!B55)/'Q1-4'!B55</f>
        <v>-4.0375039253510644E-3</v>
      </c>
      <c r="C54" s="15">
        <f>('Q1-4'!D56-'Q1-4'!D55)/'Q1-4'!D55</f>
        <v>-4.6543363306285179E-3</v>
      </c>
    </row>
    <row r="55" spans="1:3" x14ac:dyDescent="0.25">
      <c r="A55" s="11">
        <v>45601</v>
      </c>
      <c r="B55" s="15">
        <f>('Q1-4'!B57-'Q1-4'!B56)/'Q1-4'!B56</f>
        <v>6.4861943155713605E-3</v>
      </c>
      <c r="C55" s="15">
        <f>('Q1-4'!D57-'Q1-4'!D56)/'Q1-4'!D56</f>
        <v>7.3446604318660336E-3</v>
      </c>
    </row>
    <row r="56" spans="1:3" x14ac:dyDescent="0.25">
      <c r="A56" s="11">
        <v>45602</v>
      </c>
      <c r="B56" s="15">
        <f>('Q1-4'!B58-'Q1-4'!B57)/'Q1-4'!B57</f>
        <v>-3.2669501006936221E-3</v>
      </c>
      <c r="C56" s="15">
        <f>('Q1-4'!D58-'Q1-4'!D57)/'Q1-4'!D57</f>
        <v>2.119282554804848E-2</v>
      </c>
    </row>
    <row r="57" spans="1:3" x14ac:dyDescent="0.25">
      <c r="A57" s="11">
        <v>45603</v>
      </c>
      <c r="B57" s="15">
        <f>('Q1-4'!B59-'Q1-4'!B58)/'Q1-4'!B58</f>
        <v>2.1372126436781567E-2</v>
      </c>
      <c r="C57" s="15">
        <f>('Q1-4'!D59-'Q1-4'!D58)/'Q1-4'!D58</f>
        <v>1.2494645152077681E-2</v>
      </c>
    </row>
    <row r="58" spans="1:3" x14ac:dyDescent="0.25">
      <c r="A58" s="11">
        <v>45604</v>
      </c>
      <c r="B58" s="15">
        <f>('Q1-4'!B60-'Q1-4'!B59)/'Q1-4'!B59</f>
        <v>-2.2859152452962099E-3</v>
      </c>
      <c r="C58" s="15">
        <f>('Q1-4'!D60-'Q1-4'!D59)/'Q1-4'!D59</f>
        <v>-6.7931269539054278E-3</v>
      </c>
    </row>
    <row r="59" spans="1:3" x14ac:dyDescent="0.25">
      <c r="A59" s="11">
        <v>45607</v>
      </c>
      <c r="B59" s="15">
        <f>('Q1-4'!B61-'Q1-4'!B60)/'Q1-4'!B60</f>
        <v>-1.2028551286570401E-2</v>
      </c>
      <c r="C59" s="15">
        <f>('Q1-4'!D61-'Q1-4'!D60)/'Q1-4'!D60</f>
        <v>-1.072087849671044E-2</v>
      </c>
    </row>
    <row r="60" spans="1:3" x14ac:dyDescent="0.25">
      <c r="A60" s="11">
        <v>45608</v>
      </c>
      <c r="B60" s="15">
        <f>('Q1-4'!B62-'Q1-4'!B61)/'Q1-4'!B61</f>
        <v>0</v>
      </c>
      <c r="C60" s="15">
        <f>('Q1-4'!D62-'Q1-4'!D61)/'Q1-4'!D61</f>
        <v>1.2009282074591473E-2</v>
      </c>
    </row>
    <row r="61" spans="1:3" x14ac:dyDescent="0.25">
      <c r="A61" s="11">
        <v>45609</v>
      </c>
      <c r="B61" s="15">
        <f>('Q1-4'!B63-'Q1-4'!B62)/'Q1-4'!B62</f>
        <v>3.9691388306650087E-3</v>
      </c>
      <c r="C61" s="15">
        <f>('Q1-4'!D63-'Q1-4'!D62)/'Q1-4'!D62</f>
        <v>5.1296598349999199E-3</v>
      </c>
    </row>
    <row r="62" spans="1:3" x14ac:dyDescent="0.25">
      <c r="A62" s="11">
        <v>45610</v>
      </c>
      <c r="B62" s="15">
        <f>('Q1-4'!B64-'Q1-4'!B63)/'Q1-4'!B63</f>
        <v>1.3770433546552925E-2</v>
      </c>
      <c r="C62" s="15">
        <f>('Q1-4'!D64-'Q1-4'!D63)/'Q1-4'!D63</f>
        <v>3.9746001881467491E-3</v>
      </c>
    </row>
    <row r="63" spans="1:3" x14ac:dyDescent="0.25">
      <c r="A63" s="11">
        <v>45611</v>
      </c>
      <c r="B63" s="15">
        <f>('Q1-4'!B65-'Q1-4'!B64)/'Q1-4'!B64</f>
        <v>-1.4109192884059237E-2</v>
      </c>
      <c r="C63" s="15">
        <f>('Q1-4'!D65-'Q1-4'!D64)/'Q1-4'!D64</f>
        <v>-2.7852608400290441E-2</v>
      </c>
    </row>
    <row r="64" spans="1:3" x14ac:dyDescent="0.25">
      <c r="A64" s="11">
        <v>45614</v>
      </c>
      <c r="B64" s="15">
        <f>('Q1-4'!B66-'Q1-4'!B65)/'Q1-4'!B65</f>
        <v>1.3422222222222268E-2</v>
      </c>
      <c r="C64" s="15">
        <f>('Q1-4'!D66-'Q1-4'!D65)/'Q1-4'!D65</f>
        <v>1.8313253012047974E-3</v>
      </c>
    </row>
    <row r="65" spans="1:3" x14ac:dyDescent="0.25">
      <c r="A65" s="11">
        <v>45615</v>
      </c>
      <c r="B65" s="15">
        <f>('Q1-4'!B67-'Q1-4'!B66)/'Q1-4'!B66</f>
        <v>1.1402508551881015E-3</v>
      </c>
      <c r="C65" s="15">
        <f>('Q1-4'!D67-'Q1-4'!D66)/'Q1-4'!D66</f>
        <v>4.8826245911103268E-3</v>
      </c>
    </row>
    <row r="66" spans="1:3" x14ac:dyDescent="0.25">
      <c r="A66" s="11">
        <v>45616</v>
      </c>
      <c r="B66" s="15">
        <f>('Q1-4'!B68-'Q1-4'!B67)/'Q1-4'!B67</f>
        <v>3.1540213772559963E-3</v>
      </c>
      <c r="C66" s="15">
        <f>('Q1-4'!D68-'Q1-4'!D67)/'Q1-4'!D67</f>
        <v>-5.5051580937791984E-3</v>
      </c>
    </row>
    <row r="67" spans="1:3" x14ac:dyDescent="0.25">
      <c r="A67" s="11">
        <v>45617</v>
      </c>
      <c r="B67" s="15">
        <f>('Q1-4'!B69-'Q1-4'!B68)/'Q1-4'!B68</f>
        <v>-2.0960698689955885E-3</v>
      </c>
      <c r="C67" s="15">
        <f>('Q1-4'!D69-'Q1-4'!D68)/'Q1-4'!D68</f>
        <v>-6.3058076006642866E-3</v>
      </c>
    </row>
    <row r="68" spans="1:3" x14ac:dyDescent="0.25">
      <c r="A68" s="11">
        <v>45618</v>
      </c>
      <c r="B68" s="15">
        <f>('Q1-4'!B70-'Q1-4'!B69)/'Q1-4'!B69</f>
        <v>5.907579205321172E-3</v>
      </c>
      <c r="C68" s="15">
        <f>('Q1-4'!D70-'Q1-4'!D69)/'Q1-4'!D69</f>
        <v>1.0003148690871207E-2</v>
      </c>
    </row>
    <row r="69" spans="1:3" x14ac:dyDescent="0.25">
      <c r="A69" s="11">
        <v>45621</v>
      </c>
      <c r="B69" s="15">
        <f>('Q1-4'!B71-'Q1-4'!B70)/'Q1-4'!B70</f>
        <v>1.3050854830991429E-2</v>
      </c>
      <c r="C69" s="15">
        <f>('Q1-4'!D71-'Q1-4'!D70)/'Q1-4'!D70</f>
        <v>4.292565947242255E-3</v>
      </c>
    </row>
    <row r="70" spans="1:3" x14ac:dyDescent="0.25">
      <c r="A70" s="11">
        <v>45622</v>
      </c>
      <c r="B70" s="15">
        <f>('Q1-4'!B72-'Q1-4'!B71)/'Q1-4'!B71</f>
        <v>9.4043887147335324E-3</v>
      </c>
      <c r="C70" s="15">
        <f>('Q1-4'!D72-'Q1-4'!D71)/'Q1-4'!D71</f>
        <v>2.1968050813056635E-2</v>
      </c>
    </row>
    <row r="71" spans="1:3" x14ac:dyDescent="0.25">
      <c r="A71" s="11">
        <v>45623</v>
      </c>
      <c r="B71" s="15">
        <f>('Q1-4'!B73-'Q1-4'!B72)/'Q1-4'!B72</f>
        <v>-5.530502850335891E-4</v>
      </c>
      <c r="C71" s="15">
        <f>('Q1-4'!D73-'Q1-4'!D72)/'Q1-4'!D72</f>
        <v>-1.1682515946634267E-2</v>
      </c>
    </row>
    <row r="72" spans="1:3" x14ac:dyDescent="0.25">
      <c r="A72" s="11">
        <v>45625</v>
      </c>
      <c r="B72" s="15">
        <f>('Q1-4'!B74-'Q1-4'!B73)/'Q1-4'!B73</f>
        <v>1.0215808964372391E-2</v>
      </c>
      <c r="C72" s="15">
        <f>('Q1-4'!D74-'Q1-4'!D73)/'Q1-4'!D73</f>
        <v>1.1111373791341886E-3</v>
      </c>
    </row>
    <row r="73" spans="1:3" x14ac:dyDescent="0.25">
      <c r="A73" s="11">
        <v>45628</v>
      </c>
      <c r="B73" s="15">
        <f>('Q1-4'!B75-'Q1-4'!B74)/'Q1-4'!B74</f>
        <v>9.5226056545737615E-3</v>
      </c>
      <c r="C73" s="15">
        <f>('Q1-4'!D75-'Q1-4'!D74)/'Q1-4'!D74</f>
        <v>1.7758465970811974E-2</v>
      </c>
    </row>
    <row r="74" spans="1:3" x14ac:dyDescent="0.25">
      <c r="A74" s="11">
        <v>45629</v>
      </c>
      <c r="B74" s="15">
        <f>('Q1-4'!B76-'Q1-4'!B75)/'Q1-4'!B75</f>
        <v>1.2771818523310665E-2</v>
      </c>
      <c r="C74" s="15">
        <f>('Q1-4'!D76-'Q1-4'!D75)/'Q1-4'!D75</f>
        <v>5.1046452271560265E-4</v>
      </c>
    </row>
    <row r="75" spans="1:3" x14ac:dyDescent="0.25">
      <c r="A75" s="11">
        <v>45630</v>
      </c>
      <c r="B75" s="15">
        <f>('Q1-4'!B77-'Q1-4'!B76)/'Q1-4'!B76</f>
        <v>1.4836183803832071E-3</v>
      </c>
      <c r="C75" s="15">
        <f>('Q1-4'!D77-'Q1-4'!D76)/'Q1-4'!D76</f>
        <v>1.4424860853432345E-2</v>
      </c>
    </row>
    <row r="76" spans="1:3" x14ac:dyDescent="0.25">
      <c r="A76" s="11">
        <v>45631</v>
      </c>
      <c r="B76" s="15">
        <f>('Q1-4'!B78-'Q1-4'!B77)/'Q1-4'!B77</f>
        <v>1.2345170980618549E-4</v>
      </c>
      <c r="C76" s="15">
        <f>('Q1-4'!D78-'Q1-4'!D77)/'Q1-4'!D77</f>
        <v>1.1887888070961521E-2</v>
      </c>
    </row>
    <row r="77" spans="1:3" x14ac:dyDescent="0.25">
      <c r="A77" s="11">
        <v>45632</v>
      </c>
      <c r="B77" s="15">
        <f>('Q1-4'!B79-'Q1-4'!B78)/'Q1-4'!B78</f>
        <v>-8.2290980908487758E-4</v>
      </c>
      <c r="C77" s="15">
        <f>('Q1-4'!D79-'Q1-4'!D78)/'Q1-4'!D78</f>
        <v>2.1463106050336376E-3</v>
      </c>
    </row>
    <row r="78" spans="1:3" x14ac:dyDescent="0.25">
      <c r="A78" s="11">
        <v>45635</v>
      </c>
      <c r="B78" s="15">
        <f>('Q1-4'!B80-'Q1-4'!B79)/'Q1-4'!B79</f>
        <v>1.6101136550815336E-2</v>
      </c>
      <c r="C78" s="15">
        <f>('Q1-4'!D80-'Q1-4'!D79)/'Q1-4'!D79</f>
        <v>5.5233672250151918E-3</v>
      </c>
    </row>
    <row r="79" spans="1:3" x14ac:dyDescent="0.25">
      <c r="A79" s="11">
        <v>45636</v>
      </c>
      <c r="B79" s="15">
        <f>('Q1-4'!B81-'Q1-4'!B80)/'Q1-4'!B80</f>
        <v>4.1337386018237493E-3</v>
      </c>
      <c r="C79" s="15">
        <f>('Q1-4'!D81-'Q1-4'!D80)/'Q1-4'!D80</f>
        <v>-6.0311196807318005E-3</v>
      </c>
    </row>
    <row r="80" spans="1:3" x14ac:dyDescent="0.25">
      <c r="A80" s="11">
        <v>45637</v>
      </c>
      <c r="B80" s="15">
        <f>('Q1-4'!B82-'Q1-4'!B81)/'Q1-4'!B81</f>
        <v>-5.166081446502809E-3</v>
      </c>
      <c r="C80" s="15">
        <f>('Q1-4'!D82-'Q1-4'!D81)/'Q1-4'!D81</f>
        <v>1.2767013285814236E-2</v>
      </c>
    </row>
    <row r="81" spans="1:3" x14ac:dyDescent="0.25">
      <c r="A81" s="11">
        <v>45638</v>
      </c>
      <c r="B81" s="15">
        <f>('Q1-4'!B83-'Q1-4'!B82)/'Q1-4'!B82</f>
        <v>5.9637307801533486E-3</v>
      </c>
      <c r="C81" s="15">
        <f>('Q1-4'!D83-'Q1-4'!D82)/'Q1-4'!D82</f>
        <v>1.2695160248557722E-3</v>
      </c>
    </row>
    <row r="82" spans="1:3" x14ac:dyDescent="0.25">
      <c r="A82" s="11">
        <v>45639</v>
      </c>
      <c r="B82" s="15">
        <f>('Q1-4'!B84-'Q1-4'!B83)/'Q1-4'!B83</f>
        <v>6.8559445071780724E-4</v>
      </c>
      <c r="C82" s="15">
        <f>('Q1-4'!D84-'Q1-4'!D83)/'Q1-4'!D83</f>
        <v>-5.0938695613489196E-3</v>
      </c>
    </row>
    <row r="83" spans="1:3" x14ac:dyDescent="0.25">
      <c r="A83" s="11">
        <v>45642</v>
      </c>
      <c r="B83" s="15">
        <f>('Q1-4'!B85-'Q1-4'!B84)/'Q1-4'!B84</f>
        <v>1.1727723370813672E-2</v>
      </c>
      <c r="C83" s="15">
        <f>('Q1-4'!D85-'Q1-4'!D84)/'Q1-4'!D84</f>
        <v>9.6585954792407121E-3</v>
      </c>
    </row>
    <row r="84" spans="1:3" x14ac:dyDescent="0.25">
      <c r="A84" s="11">
        <v>45643</v>
      </c>
      <c r="B84" s="15">
        <f>('Q1-4'!B86-'Q1-4'!B85)/'Q1-4'!B85</f>
        <v>9.7195666029317954E-3</v>
      </c>
      <c r="C84" s="15">
        <f>('Q1-4'!D86-'Q1-4'!D85)/'Q1-4'!D85</f>
        <v>6.3553223056312244E-3</v>
      </c>
    </row>
    <row r="85" spans="1:3" x14ac:dyDescent="0.25">
      <c r="A85" s="11">
        <v>45644</v>
      </c>
      <c r="B85" s="15">
        <f>('Q1-4'!B87-'Q1-4'!B86)/'Q1-4'!B86</f>
        <v>-2.1421808426700249E-2</v>
      </c>
      <c r="C85" s="15">
        <f>('Q1-4'!D87-'Q1-4'!D86)/'Q1-4'!D86</f>
        <v>-3.7561061479558143E-2</v>
      </c>
    </row>
    <row r="86" spans="1:3" x14ac:dyDescent="0.25">
      <c r="A86" s="11">
        <v>45645</v>
      </c>
      <c r="B86" s="15">
        <f>('Q1-4'!B88-'Q1-4'!B87)/'Q1-4'!B87</f>
        <v>7.0147147752468476E-3</v>
      </c>
      <c r="C86" s="15">
        <f>('Q1-4'!D88-'Q1-4'!D87)/'Q1-4'!D87</f>
        <v>-8.2306408468418033E-4</v>
      </c>
    </row>
    <row r="87" spans="1:3" x14ac:dyDescent="0.25">
      <c r="A87" s="11">
        <v>45646</v>
      </c>
      <c r="B87" s="15">
        <f>('Q1-4'!B89-'Q1-4'!B88)/'Q1-4'!B88</f>
        <v>1.8815805276432271E-2</v>
      </c>
      <c r="C87" s="15">
        <f>('Q1-4'!D89-'Q1-4'!D88)/'Q1-4'!D88</f>
        <v>-9.8391414777006161E-4</v>
      </c>
    </row>
    <row r="88" spans="1:3" x14ac:dyDescent="0.25">
      <c r="A88" s="11">
        <v>45649</v>
      </c>
      <c r="B88" s="15">
        <f>('Q1-4'!B90-'Q1-4'!B89)/'Q1-4'!B89</f>
        <v>3.0649534362843377E-3</v>
      </c>
      <c r="C88" s="15">
        <f>('Q1-4'!D90-'Q1-4'!D89)/'Q1-4'!D89</f>
        <v>-3.0920751259734831E-3</v>
      </c>
    </row>
    <row r="89" spans="1:3" x14ac:dyDescent="0.25">
      <c r="A89" s="11">
        <v>45650</v>
      </c>
      <c r="B89" s="15">
        <f>('Q1-4'!B91-'Q1-4'!B90)/'Q1-4'!B90</f>
        <v>1.147804285658314E-2</v>
      </c>
      <c r="C89" s="15">
        <f>('Q1-4'!D91-'Q1-4'!D90)/'Q1-4'!D90</f>
        <v>9.3739230327397685E-3</v>
      </c>
    </row>
    <row r="90" spans="1:3" x14ac:dyDescent="0.25">
      <c r="A90" s="11">
        <v>45652</v>
      </c>
      <c r="B90" s="15">
        <f>('Q1-4'!B92-'Q1-4'!B91)/'Q1-4'!B91</f>
        <v>3.1758326878388583E-3</v>
      </c>
      <c r="C90" s="15">
        <f>('Q1-4'!D92-'Q1-4'!D91)/'Q1-4'!D91</f>
        <v>-2.7769558190880897E-3</v>
      </c>
    </row>
    <row r="91" spans="1:3" x14ac:dyDescent="0.25">
      <c r="A91" s="11">
        <v>45653</v>
      </c>
      <c r="B91" s="15">
        <f>('Q1-4'!B93-'Q1-4'!B92)/'Q1-4'!B92</f>
        <v>-1.3242220677939846E-2</v>
      </c>
      <c r="C91" s="15">
        <f>('Q1-4'!D93-'Q1-4'!D92)/'Q1-4'!D92</f>
        <v>-1.730159092465372E-2</v>
      </c>
    </row>
    <row r="92" spans="1:3" x14ac:dyDescent="0.25">
      <c r="A92" s="11">
        <v>45656</v>
      </c>
      <c r="B92" s="15">
        <f>('Q1-4'!B94-'Q1-4'!B93)/'Q1-4'!B93</f>
        <v>-1.3263429711647618E-2</v>
      </c>
      <c r="C92" s="15">
        <f>('Q1-4'!D94-'Q1-4'!D93)/'Q1-4'!D93</f>
        <v>-1.3239495505539657E-2</v>
      </c>
    </row>
    <row r="93" spans="1:3" x14ac:dyDescent="0.25">
      <c r="A93" s="11">
        <v>45657</v>
      </c>
      <c r="B93" s="15">
        <f>('Q1-4'!B95-'Q1-4'!B94)/'Q1-4'!B94</f>
        <v>-7.0578905630452066E-3</v>
      </c>
      <c r="C93" s="15">
        <f>('Q1-4'!D95-'Q1-4'!D94)/'Q1-4'!D94</f>
        <v>-7.838429489442798E-3</v>
      </c>
    </row>
    <row r="94" spans="1:3" x14ac:dyDescent="0.25">
      <c r="A94" s="11">
        <v>45659</v>
      </c>
      <c r="B94" s="15">
        <f>('Q1-4'!B96-'Q1-4'!B95)/'Q1-4'!B95</f>
        <v>-2.6235923648270879E-2</v>
      </c>
      <c r="C94" s="15">
        <f>('Q1-4'!D96-'Q1-4'!D95)/'Q1-4'!D95</f>
        <v>-6.9276393831554355E-3</v>
      </c>
    </row>
    <row r="95" spans="1:3" x14ac:dyDescent="0.25">
      <c r="A95" s="11">
        <v>45660</v>
      </c>
      <c r="B95" s="15">
        <f>('Q1-4'!B97-'Q1-4'!B96)/'Q1-4'!B96</f>
        <v>-2.0094320278859165E-3</v>
      </c>
      <c r="C95" s="15">
        <f>('Q1-4'!D97-'Q1-4'!D96)/'Q1-4'!D96</f>
        <v>1.1395671078408044E-2</v>
      </c>
    </row>
    <row r="96" spans="1:3" x14ac:dyDescent="0.25">
      <c r="A96" s="11">
        <v>45663</v>
      </c>
      <c r="B96" s="15">
        <f>('Q1-4'!B98-'Q1-4'!B97)/'Q1-4'!B97</f>
        <v>6.7389875082182211E-3</v>
      </c>
      <c r="C96" s="15">
        <f>('Q1-4'!D98-'Q1-4'!D97)/'Q1-4'!D97</f>
        <v>1.0629502775481279E-2</v>
      </c>
    </row>
    <row r="97" spans="1:3" x14ac:dyDescent="0.25">
      <c r="A97" s="11">
        <v>45664</v>
      </c>
      <c r="B97" s="15">
        <f>('Q1-4'!B99-'Q1-4'!B98)/'Q1-4'!B98</f>
        <v>-1.1387755102040783E-2</v>
      </c>
      <c r="C97" s="15">
        <f>('Q1-4'!D99-'Q1-4'!D98)/'Q1-4'!D98</f>
        <v>-1.2808227182423788E-2</v>
      </c>
    </row>
    <row r="98" spans="1:3" x14ac:dyDescent="0.25">
      <c r="A98" s="11">
        <v>45665</v>
      </c>
      <c r="B98" s="15">
        <f>('Q1-4'!B100-'Q1-4'!B99)/'Q1-4'!B99</f>
        <v>2.0230378597084374E-3</v>
      </c>
      <c r="C98" s="15">
        <f>('Q1-4'!D100-'Q1-4'!D99)/'Q1-4'!D99</f>
        <v>5.1850273456921598E-3</v>
      </c>
    </row>
    <row r="99" spans="1:3" x14ac:dyDescent="0.25">
      <c r="A99" s="11">
        <v>45667</v>
      </c>
      <c r="B99" s="15">
        <f>('Q1-4'!B101-'Q1-4'!B100)/'Q1-4'!B100</f>
        <v>-2.4103831891223712E-2</v>
      </c>
      <c r="C99" s="15">
        <f>('Q1-4'!D101-'Q1-4'!D100)/'Q1-4'!D100</f>
        <v>-1.3213680045223322E-2</v>
      </c>
    </row>
    <row r="100" spans="1:3" x14ac:dyDescent="0.25">
      <c r="A100" s="11">
        <v>45670</v>
      </c>
      <c r="B100" s="15">
        <f>('Q1-4'!B102-'Q1-4'!B101)/'Q1-4'!B101</f>
        <v>-1.0344099641123025E-2</v>
      </c>
      <c r="C100" s="15">
        <f>('Q1-4'!D102-'Q1-4'!D101)/'Q1-4'!D101</f>
        <v>-4.2009786370688414E-3</v>
      </c>
    </row>
    <row r="101" spans="1:3" x14ac:dyDescent="0.25">
      <c r="A101" s="11">
        <v>45671</v>
      </c>
      <c r="B101" s="15">
        <f>('Q1-4'!B103-'Q1-4'!B102)/'Q1-4'!B102</f>
        <v>-4.7781569965870503E-3</v>
      </c>
      <c r="C101" s="15">
        <f>('Q1-4'!D103-'Q1-4'!D102)/'Q1-4'!D102</f>
        <v>-3.6434238596322584E-3</v>
      </c>
    </row>
    <row r="102" spans="1:3" x14ac:dyDescent="0.25">
      <c r="A102" s="11">
        <v>45672</v>
      </c>
      <c r="B102" s="15">
        <f>('Q1-4'!B104-'Q1-4'!B103)/'Q1-4'!B103</f>
        <v>1.967592592592594E-2</v>
      </c>
      <c r="C102" s="15">
        <f>('Q1-4'!D104-'Q1-4'!D103)/'Q1-4'!D103</f>
        <v>2.559722857074118E-2</v>
      </c>
    </row>
    <row r="103" spans="1:3" x14ac:dyDescent="0.25">
      <c r="A103" s="11">
        <v>45673</v>
      </c>
      <c r="B103" s="15">
        <f>('Q1-4'!B105-'Q1-4'!B104)/'Q1-4'!B104</f>
        <v>-4.0400218606802089E-2</v>
      </c>
      <c r="C103" s="15">
        <f>('Q1-4'!D105-'Q1-4'!D104)/'Q1-4'!D104</f>
        <v>-4.058079801083761E-3</v>
      </c>
    </row>
    <row r="104" spans="1:3" x14ac:dyDescent="0.25">
      <c r="A104" s="11">
        <v>45674</v>
      </c>
      <c r="B104" s="15">
        <f>('Q1-4'!B106-'Q1-4'!B105)/'Q1-4'!B105</f>
        <v>7.5352668010163805E-3</v>
      </c>
      <c r="C104" s="15">
        <f>('Q1-4'!D106-'Q1-4'!D105)/'Q1-4'!D105</f>
        <v>1.0480945875924417E-2</v>
      </c>
    </row>
    <row r="105" spans="1:3" x14ac:dyDescent="0.25">
      <c r="A105" s="11">
        <v>45678</v>
      </c>
      <c r="B105" s="15">
        <f>('Q1-4'!B107-'Q1-4'!B106)/'Q1-4'!B106</f>
        <v>-3.1915818766849305E-2</v>
      </c>
      <c r="C105" s="15">
        <f>('Q1-4'!D107-'Q1-4'!D106)/'Q1-4'!D106</f>
        <v>-1.235344847679586E-3</v>
      </c>
    </row>
    <row r="106" spans="1:3" x14ac:dyDescent="0.25">
      <c r="A106" s="11">
        <v>45679</v>
      </c>
      <c r="B106" s="15">
        <f>('Q1-4'!B108-'Q1-4'!B107)/'Q1-4'!B107</f>
        <v>5.3449514911966681E-3</v>
      </c>
      <c r="C106" s="15">
        <f>('Q1-4'!D108-'Q1-4'!D107)/'Q1-4'!D107</f>
        <v>4.1306884480746764E-2</v>
      </c>
    </row>
    <row r="107" spans="1:3" x14ac:dyDescent="0.25">
      <c r="A107" s="11">
        <v>45680</v>
      </c>
      <c r="B107" s="15">
        <f>('Q1-4'!B109-'Q1-4'!B108)/'Q1-4'!B108</f>
        <v>-7.5950498145921418E-4</v>
      </c>
      <c r="C107" s="15">
        <f>('Q1-4'!D109-'Q1-4'!D108)/'Q1-4'!D108</f>
        <v>1.1429852084266941E-3</v>
      </c>
    </row>
    <row r="108" spans="1:3" x14ac:dyDescent="0.25">
      <c r="A108" s="11">
        <v>45681</v>
      </c>
      <c r="B108" s="15">
        <f>('Q1-4'!B110-'Q1-4'!B109)/'Q1-4'!B109</f>
        <v>-3.934543503532127E-3</v>
      </c>
      <c r="C108" s="15">
        <f>('Q1-4'!D110-'Q1-4'!D109)/'Q1-4'!D109</f>
        <v>-5.9322603031048719E-3</v>
      </c>
    </row>
    <row r="109" spans="1:3" x14ac:dyDescent="0.25">
      <c r="A109" s="11">
        <v>45684</v>
      </c>
      <c r="B109" s="15">
        <f>('Q1-4'!B111-'Q1-4'!B110)/'Q1-4'!B110</f>
        <v>3.1780231618637279E-2</v>
      </c>
      <c r="C109" s="15">
        <f>('Q1-4'!D111-'Q1-4'!D110)/'Q1-4'!D110</f>
        <v>-2.1393505382155564E-2</v>
      </c>
    </row>
    <row r="110" spans="1:3" x14ac:dyDescent="0.25">
      <c r="A110" s="11">
        <v>45685</v>
      </c>
      <c r="B110" s="15">
        <f>('Q1-4'!B112-'Q1-4'!B111)/'Q1-4'!B111</f>
        <v>3.6543983294178961E-2</v>
      </c>
      <c r="C110" s="15">
        <f>('Q1-4'!D112-'Q1-4'!D111)/'Q1-4'!D111</f>
        <v>2.9086892488954314E-2</v>
      </c>
    </row>
    <row r="111" spans="1:3" x14ac:dyDescent="0.25">
      <c r="A111" s="11">
        <v>45686</v>
      </c>
      <c r="B111" s="15">
        <f>('Q1-4'!B113-'Q1-4'!B112)/'Q1-4'!B112</f>
        <v>4.6168051708218869E-3</v>
      </c>
      <c r="C111" s="15">
        <f>('Q1-4'!D113-'Q1-4'!D112)/'Q1-4'!D112</f>
        <v>-1.0889982110912353E-2</v>
      </c>
    </row>
    <row r="112" spans="1:3" x14ac:dyDescent="0.25">
      <c r="A112" s="11">
        <v>45687</v>
      </c>
      <c r="B112" s="15">
        <f>('Q1-4'!B114-'Q1-4'!B113)/'Q1-4'!B113</f>
        <v>-7.394719251336941E-3</v>
      </c>
      <c r="C112" s="15">
        <f>('Q1-4'!D114-'Q1-4'!D113)/'Q1-4'!D113</f>
        <v>-6.1809056586711222E-2</v>
      </c>
    </row>
    <row r="113" spans="1:3" x14ac:dyDescent="0.25">
      <c r="A113" s="11">
        <v>45688</v>
      </c>
      <c r="B113" s="15">
        <f>('Q1-4'!B115-'Q1-4'!B114)/'Q1-4'!B114</f>
        <v>-6.6922008502041472E-3</v>
      </c>
      <c r="C113" s="15">
        <f>('Q1-4'!D115-'Q1-4'!D114)/'Q1-4'!D114</f>
        <v>1.6867876334367859E-4</v>
      </c>
    </row>
    <row r="114" spans="1:3" x14ac:dyDescent="0.25">
      <c r="A114" s="11">
        <v>45691</v>
      </c>
      <c r="B114" s="15">
        <f>('Q1-4'!B116-'Q1-4'!B115)/'Q1-4'!B115</f>
        <v>-3.3855932203389866E-2</v>
      </c>
      <c r="C114" s="15">
        <f>('Q1-4'!D116-'Q1-4'!D115)/'Q1-4'!D115</f>
        <v>-9.9744615236351045E-3</v>
      </c>
    </row>
    <row r="115" spans="1:3" x14ac:dyDescent="0.25">
      <c r="A115" s="11">
        <v>45692</v>
      </c>
      <c r="B115" s="15">
        <f>('Q1-4'!B117-'Q1-4'!B116)/'Q1-4'!B116</f>
        <v>2.1007850532871457E-2</v>
      </c>
      <c r="C115" s="15">
        <f>('Q1-4'!D117-'Q1-4'!D116)/'Q1-4'!D116</f>
        <v>3.528667380511994E-3</v>
      </c>
    </row>
    <row r="116" spans="1:3" x14ac:dyDescent="0.25">
      <c r="A116" s="11">
        <v>45693</v>
      </c>
      <c r="B116" s="15">
        <f>('Q1-4'!B118-'Q1-4'!B117)/'Q1-4'!B117</f>
        <v>-1.41752577319593E-3</v>
      </c>
      <c r="C116" s="15">
        <f>('Q1-4'!D118-'Q1-4'!D117)/'Q1-4'!D117</f>
        <v>2.2310061352669107E-3</v>
      </c>
    </row>
    <row r="117" spans="1:3" x14ac:dyDescent="0.25">
      <c r="A117" s="11">
        <v>45694</v>
      </c>
      <c r="B117" s="15">
        <f>('Q1-4'!B119-'Q1-4'!B118)/'Q1-4'!B118</f>
        <v>3.2262227384178602E-3</v>
      </c>
      <c r="C117" s="15">
        <f>('Q1-4'!D119-'Q1-4'!D118)/'Q1-4'!D118</f>
        <v>6.1216095235790188E-3</v>
      </c>
    </row>
    <row r="118" spans="1:3" x14ac:dyDescent="0.25">
      <c r="A118" s="11">
        <v>45695</v>
      </c>
      <c r="B118" s="15">
        <f>('Q1-4'!B120-'Q1-4'!B119)/'Q1-4'!B119</f>
        <v>-2.396878483835007E-2</v>
      </c>
      <c r="C118" s="15">
        <f>('Q1-4'!D120-'Q1-4'!D119)/'Q1-4'!D119</f>
        <v>-1.4597662450098584E-2</v>
      </c>
    </row>
    <row r="119" spans="1:3" x14ac:dyDescent="0.25">
      <c r="A119" s="11">
        <v>45698</v>
      </c>
      <c r="B119" s="15">
        <f>('Q1-4'!B121-'Q1-4'!B120)/'Q1-4'!B120</f>
        <v>8.7861881122919789E-5</v>
      </c>
      <c r="C119" s="15">
        <f>('Q1-4'!D121-'Q1-4'!D120)/'Q1-4'!D120</f>
        <v>6.0280658938377729E-3</v>
      </c>
    </row>
    <row r="120" spans="1:3" x14ac:dyDescent="0.25">
      <c r="A120" s="11">
        <v>45699</v>
      </c>
      <c r="B120" s="15">
        <f>('Q1-4'!B122-'Q1-4'!B121)/'Q1-4'!B121</f>
        <v>2.1831759279595866E-2</v>
      </c>
      <c r="C120" s="15">
        <f>('Q1-4'!D122-'Q1-4'!D121)/'Q1-4'!D121</f>
        <v>-1.8921934889137584E-3</v>
      </c>
    </row>
    <row r="121" spans="1:3" x14ac:dyDescent="0.25">
      <c r="A121" s="11">
        <v>45700</v>
      </c>
      <c r="B121" s="15">
        <f>('Q1-4'!B123-'Q1-4'!B122)/'Q1-4'!B122</f>
        <v>1.8270140142722036E-2</v>
      </c>
      <c r="C121" s="15">
        <f>('Q1-4'!D123-'Q1-4'!D122)/'Q1-4'!D122</f>
        <v>-5.8331713007971448E-3</v>
      </c>
    </row>
    <row r="122" spans="1:3" x14ac:dyDescent="0.25">
      <c r="A122" s="11">
        <v>45701</v>
      </c>
      <c r="B122" s="15">
        <f>('Q1-4'!B124-'Q1-4'!B123)/'Q1-4'!B123</f>
        <v>1.9673238485245055E-2</v>
      </c>
      <c r="C122" s="15">
        <f>('Q1-4'!D124-'Q1-4'!D123)/'Q1-4'!D123</f>
        <v>3.667123019753569E-3</v>
      </c>
    </row>
    <row r="123" spans="1:3" x14ac:dyDescent="0.25">
      <c r="A123" s="11">
        <v>45702</v>
      </c>
      <c r="B123" s="15">
        <f>('Q1-4'!B125-'Q1-4'!B124)/'Q1-4'!B124</f>
        <v>1.2710636359872452E-2</v>
      </c>
      <c r="C123" s="15">
        <f>('Q1-4'!D125-'Q1-4'!D124)/'Q1-4'!D124</f>
        <v>-5.1395722706679336E-3</v>
      </c>
    </row>
    <row r="124" spans="1:3" x14ac:dyDescent="0.25">
      <c r="A124" s="11">
        <v>45706</v>
      </c>
      <c r="B124" s="15">
        <f>('Q1-4'!B126-'Q1-4'!B125)/'Q1-4'!B125</f>
        <v>-5.3147996729352193E-4</v>
      </c>
      <c r="C124" s="15">
        <f>('Q1-4'!D126-'Q1-4'!D125)/'Q1-4'!D125</f>
        <v>2.9625639644491821E-3</v>
      </c>
    </row>
    <row r="125" spans="1:3" x14ac:dyDescent="0.25">
      <c r="A125" s="11">
        <v>45707</v>
      </c>
      <c r="B125" s="15">
        <f>('Q1-4'!B127-'Q1-4'!B126)/'Q1-4'!B126</f>
        <v>1.6361925798666736E-3</v>
      </c>
      <c r="C125" s="15">
        <f>('Q1-4'!D127-'Q1-4'!D126)/'Q1-4'!D126</f>
        <v>1.2523191094619655E-2</v>
      </c>
    </row>
    <row r="126" spans="1:3" x14ac:dyDescent="0.25">
      <c r="A126" s="11">
        <v>45708</v>
      </c>
      <c r="B126" s="15">
        <f>('Q1-4'!B128-'Q1-4'!B127)/'Q1-4'!B127</f>
        <v>3.9204475844325888E-3</v>
      </c>
      <c r="C126" s="15">
        <f>('Q1-4'!D128-'Q1-4'!D127)/'Q1-4'!D127</f>
        <v>3.278925669648272E-3</v>
      </c>
    </row>
  </sheetData>
  <mergeCells count="2">
    <mergeCell ref="E1:M1"/>
    <mergeCell ref="E11:F11"/>
  </mergeCells>
  <pageMargins left="0.7" right="0.7" top="0.75" bottom="0.75" header="0.3" footer="0.3"/>
  <ignoredErrors>
    <ignoredError sqref="K5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Q1-4</vt:lpstr>
      <vt:lpstr>Q5-7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Jawad Khan</dc:creator>
  <cp:lastModifiedBy>Asif Shah</cp:lastModifiedBy>
  <dcterms:created xsi:type="dcterms:W3CDTF">2025-03-04T18:07:56Z</dcterms:created>
  <dcterms:modified xsi:type="dcterms:W3CDTF">2025-03-10T17:57:48Z</dcterms:modified>
</cp:coreProperties>
</file>